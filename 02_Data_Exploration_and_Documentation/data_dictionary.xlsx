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Relationships" sheetId="3" state="visible" r:id="rId5"/>
    <sheet name="employee_dataset" sheetId="4" state="visible" r:id="rId6"/>
    <sheet name="Department" sheetId="5" state="visible" r:id="rId7"/>
    <sheet name="Education" sheetId="6" state="visible" r:id="rId8"/>
    <sheet name="health_dataset" sheetId="7" state="visible" r:id="rId9"/>
    <sheet name="finance_dataset" sheetId="8" state="visible" r:id="rId10"/>
    <sheet name="employee_performance" sheetId="9" state="visible" r:id="rId11"/>
    <sheet name="department_performance" sheetId="10" state="visible" r:id="rId12"/>
  </sheets>
  <definedNames>
    <definedName function="false" hidden="true" localSheetId="4" name="_xlnm._FilterDatabase" vbProcedure="false">Department!$A$4:$I$6</definedName>
    <definedName function="false" hidden="true" localSheetId="9" name="_xlnm._FilterDatabase" vbProcedure="false">department_performance!$A$4:$I$11</definedName>
    <definedName function="false" hidden="true" localSheetId="5" name="_xlnm._FilterDatabase" vbProcedure="false">Education!$A$4:$I$12</definedName>
    <definedName function="false" hidden="true" localSheetId="3" name="_xlnm._FilterDatabase" vbProcedure="false">employee_dataset!$A$4:$I$15</definedName>
    <definedName function="false" hidden="true" localSheetId="8" name="_xlnm._FilterDatabase" vbProcedure="false">employee_performance!$A$4:$I$11</definedName>
    <definedName function="false" hidden="true" localSheetId="7" name="_xlnm._FilterDatabase" vbProcedure="false">finance_dataset!$A$4:$I$11</definedName>
    <definedName function="false" hidden="true" localSheetId="6" name="_xlnm._FilterDatabase" vbProcedure="false">health_dataset!$A$4:$I$14</definedName>
    <definedName function="false" hidden="true" localSheetId="2" name="_xlnm._FilterDatabase" vbProcedure="false">Relationships!$A$4:$G$10</definedName>
    <definedName function="false" hidden="true" localSheetId="1" name="_xlnm._FilterDatabase" vbProcedure="false">Summary!$A$4:$H$11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<sst xmlns="http://schemas.openxmlformats.org/spreadsheetml/2006/main" count="526" uniqueCount="348">
  <si>
    <t xml:space="preserve">Data Dictionary</t>
  </si>
  <si>
    <t xml:space="preserve">Workforce Intelligence and Organizational Performance Analysis at Roblox Africa Operations (Ghana Hub)</t>
  </si>
  <si>
    <t xml:space="preserve">Deliverable</t>
  </si>
  <si>
    <t xml:space="preserve">Project deliverable 2 of 5 - "Data dictionary and schema documentation" (Capstone Project brief, Expected deliverables).</t>
  </si>
  <si>
    <t xml:space="preserve">Stage</t>
  </si>
  <si>
    <t xml:space="preserve">Stage 2 - Data Exploration and Documentation.</t>
  </si>
  <si>
    <t xml:space="preserve">Version</t>
  </si>
  <si>
    <t xml:space="preserve">v1.2 - documents the RAW datasets as supplied, before any cleaning.</t>
  </si>
  <si>
    <t xml:space="preserve">Profiled on</t>
  </si>
  <si>
    <t xml:space="preserve">30 July 2026, from the seven .xlsx files supplied with the capstone.</t>
  </si>
  <si>
    <t xml:space="preserve">Scope</t>
  </si>
  <si>
    <t xml:space="preserve">7 datasets - 270,053 rows - 52 columns in total (see the Summary tab, which totals these with live formulas).</t>
  </si>
  <si>
    <t xml:space="preserve">HOW TO READ THIS WORKBOOK</t>
  </si>
  <si>
    <t xml:space="preserve">Summary</t>
  </si>
  <si>
    <t xml:space="preserve">One row per dataset: size, grain, primary key and how it joins.</t>
  </si>
  <si>
    <t xml:space="preserve">Relationships</t>
  </si>
  <si>
    <t xml:space="preserve">Every join in the data model, with keys and cardinality.</t>
  </si>
  <si>
    <t xml:space="preserve">One tab per dataset</t>
  </si>
  <si>
    <t xml:space="preserve">Every column described: meaning, type, example, allowed values, nulls and a quality flag.</t>
  </si>
  <si>
    <t xml:space="preserve">QUALITY FLAG COLOURS</t>
  </si>
  <si>
    <t xml:space="preserve">ERROR</t>
  </si>
  <si>
    <t xml:space="preserve">Confirmed problem that must be fixed before analysis. Logged in full in the Stage 3 error log.</t>
  </si>
  <si>
    <t xml:space="preserve">REVIEW</t>
  </si>
  <si>
    <t xml:space="preserve">Looks inconsistent and needs a decision, but may be legitimate.</t>
  </si>
  <si>
    <t xml:space="preserve">NOTE</t>
  </si>
  <si>
    <t xml:space="preserve">Something to be aware of when using the column. Not a defect.</t>
  </si>
  <si>
    <t xml:space="preserve">blank</t>
  </si>
  <si>
    <t xml:space="preserve">No issue found.</t>
  </si>
  <si>
    <t xml:space="preserve">IMPORTANT</t>
  </si>
  <si>
    <t xml:space="preserve">This dictionary describes the data as received. It is the baseline the Stage 3 audit and the</t>
  </si>
  <si>
    <t xml:space="preserve">Stage 5 cleaning work against. Re-issue as v2.0 once the cleaned datasets are produced.</t>
  </si>
  <si>
    <t xml:space="preserve">Currency</t>
  </si>
  <si>
    <t xml:space="preserve">All monetary values are US dollars, confirmed by the client in the SAC4 email reply. The PERIOD of salary</t>
  </si>
  <si>
    <t xml:space="preserve">(monthly or annual) is NOT stated and remains an open question with the client.</t>
  </si>
  <si>
    <t xml:space="preserve">Reconciliation</t>
  </si>
  <si>
    <t xml:space="preserve">Department Total_Cost does not reconcile with summed employee salaries - the two tables are on</t>
  </si>
  <si>
    <t xml:space="preserve">different scales. Do not divide one by the other. Raise with the client before reporting cost per employee.</t>
  </si>
  <si>
    <t xml:space="preserve">Summary of the seven datasets</t>
  </si>
  <si>
    <t xml:space="preserve">Grain is the single most important column here: it tells you what one row represents, and therefore how the table may be joined.</t>
  </si>
  <si>
    <t xml:space="preserve">#</t>
  </si>
  <si>
    <t xml:space="preserve">Dataset file</t>
  </si>
  <si>
    <t xml:space="preserve">Rows</t>
  </si>
  <si>
    <t xml:space="preserve">Columns</t>
  </si>
  <si>
    <t xml:space="preserve">Grain - what one row means</t>
  </si>
  <si>
    <t xml:space="preserve">Primary key</t>
  </si>
  <si>
    <t xml:space="preserve">Joins to employee_dataset by</t>
  </si>
  <si>
    <t xml:space="preserve">Notes</t>
  </si>
  <si>
    <t xml:space="preserve">employee_dataset.xlsx</t>
  </si>
  <si>
    <t xml:space="preserve">One employee</t>
  </si>
  <si>
    <t xml:space="preserve">EmployeeID</t>
  </si>
  <si>
    <t xml:space="preserve">-  (this is the central table)</t>
  </si>
  <si>
    <t xml:space="preserve">30,004 rows but only 30,000 unique employees - 4 exact duplicate rows</t>
  </si>
  <si>
    <t xml:space="preserve">Department.xlsx</t>
  </si>
  <si>
    <t xml:space="preserve">One department</t>
  </si>
  <si>
    <t xml:space="preserve">department_code</t>
  </si>
  <si>
    <t xml:space="preserve">Employee.Department Code = department_code</t>
  </si>
  <si>
    <t xml:space="preserve">Lookup table. department_name is also the key used by department_performance</t>
  </si>
  <si>
    <t xml:space="preserve">Education.xlsx</t>
  </si>
  <si>
    <t xml:space="preserve">Education Record_id</t>
  </si>
  <si>
    <t xml:space="preserve">employee_id = EmployeeID</t>
  </si>
  <si>
    <t xml:space="preserve">30,001 rows for 30,000 employees - 1 exact duplicate row</t>
  </si>
  <si>
    <t xml:space="preserve">health_dataset.xlsx</t>
  </si>
  <si>
    <t xml:space="preserve">Health Id</t>
  </si>
  <si>
    <t xml:space="preserve">Employee ID = EmployeeID</t>
  </si>
  <si>
    <t xml:space="preserve">Administrative insurance and leave data. Not clinical data</t>
  </si>
  <si>
    <t xml:space="preserve">finance_dataset.xlsx</t>
  </si>
  <si>
    <t xml:space="preserve">FinanceID</t>
  </si>
  <si>
    <t xml:space="preserve">StaffID = EmployeeID</t>
  </si>
  <si>
    <t xml:space="preserve">Contains bank and tax identifiers - treat as confidential</t>
  </si>
  <si>
    <t xml:space="preserve">employee_performance.xlsx</t>
  </si>
  <si>
    <t xml:space="preserve">One employee in one year</t>
  </si>
  <si>
    <t xml:space="preserve">EmployeeID + Year (composite)</t>
  </si>
  <si>
    <t xml:space="preserve">EmployeeID = EmployeeID</t>
  </si>
  <si>
    <t xml:space="preserve">1 to many. Do NOT merge into the employee table - it would duplicate salary 5 times</t>
  </si>
  <si>
    <t xml:space="preserve">department_performance.xlsx</t>
  </si>
  <si>
    <t xml:space="preserve">One department in one year</t>
  </si>
  <si>
    <t xml:space="preserve">Department + Year (composite)</t>
  </si>
  <si>
    <t xml:space="preserve">Does not join to employees</t>
  </si>
  <si>
    <t xml:space="preserve">Joins to Department by full department name. 8 departments x 5 years</t>
  </si>
  <si>
    <t xml:space="preserve">TOTAL</t>
  </si>
  <si>
    <t xml:space="preserve">How the seven tables connect</t>
  </si>
  <si>
    <t xml:space="preserve">The employee identifier is spelled four different ways across the files. Every join below was tested against the supplied data on 30 July 2026.</t>
  </si>
  <si>
    <t xml:space="preserve">From table</t>
  </si>
  <si>
    <t xml:space="preserve">From column</t>
  </si>
  <si>
    <t xml:space="preserve">To table</t>
  </si>
  <si>
    <t xml:space="preserve">To column</t>
  </si>
  <si>
    <t xml:space="preserve">Cardinality</t>
  </si>
  <si>
    <t xml:space="preserve">Verified</t>
  </si>
  <si>
    <t xml:space="preserve">How to use it</t>
  </si>
  <si>
    <t xml:space="preserve">employee_dataset</t>
  </si>
  <si>
    <t xml:space="preserve">Department Code</t>
  </si>
  <si>
    <t xml:space="preserve">Department</t>
  </si>
  <si>
    <t xml:space="preserve">many to 1</t>
  </si>
  <si>
    <t xml:space="preserve">Yes - all 8 codes valid; 1 employee has a null code</t>
  </si>
  <si>
    <t xml:space="preserve">Brings department_name onto the employee record</t>
  </si>
  <si>
    <t xml:space="preserve">Education</t>
  </si>
  <si>
    <t xml:space="preserve">employee_id</t>
  </si>
  <si>
    <t xml:space="preserve">1 to 1</t>
  </si>
  <si>
    <t xml:space="preserve">Yes - no orphan ids</t>
  </si>
  <si>
    <t xml:space="preserve">LEFT JOIN into the master employee table</t>
  </si>
  <si>
    <t xml:space="preserve">finance_dataset</t>
  </si>
  <si>
    <t xml:space="preserve">StaffID</t>
  </si>
  <si>
    <t xml:space="preserve">health_dataset</t>
  </si>
  <si>
    <t xml:space="preserve">Employee ID</t>
  </si>
  <si>
    <t xml:space="preserve">employee_performance</t>
  </si>
  <si>
    <t xml:space="preserve">Yes - 5 rows per employee, 2021-2025</t>
  </si>
  <si>
    <t xml:space="preserve">Keep SEPARATE as a fact table. Link by relationship, never by merge</t>
  </si>
  <si>
    <t xml:space="preserve">department_performance</t>
  </si>
  <si>
    <t xml:space="preserve">department_name</t>
  </si>
  <si>
    <t xml:space="preserve">Yes - all 8 names match exactly</t>
  </si>
  <si>
    <t xml:space="preserve">Keep SEPARATE as a fact table at department-year grain</t>
  </si>
  <si>
    <t xml:space="preserve">30,004 rows x 11 columns. Grain: one row per employee. Primary key: EmployeeID. This is the central table of the data model - all other employee data joins to it.</t>
  </si>
  <si>
    <t xml:space="preserve">Column name</t>
  </si>
  <si>
    <t xml:space="preserve">Description</t>
  </si>
  <si>
    <t xml:space="preserve">Data type</t>
  </si>
  <si>
    <t xml:space="preserve">Example</t>
  </si>
  <si>
    <t xml:space="preserve">Allowed values / range</t>
  </si>
  <si>
    <t xml:space="preserve">Nulls</t>
  </si>
  <si>
    <t xml:space="preserve">Unique</t>
  </si>
  <si>
    <t xml:space="preserve">Key</t>
  </si>
  <si>
    <t xml:space="preserve">Quality flag</t>
  </si>
  <si>
    <t xml:space="preserve">Unique identifier for each employee. Referenced by every other employee-level table.</t>
  </si>
  <si>
    <t xml:space="preserve">Whole number</t>
  </si>
  <si>
    <t xml:space="preserve">1</t>
  </si>
  <si>
    <t xml:space="preserve">1 to 30000</t>
  </si>
  <si>
    <t xml:space="preserve">NOTE - 30,004 rows carry only 30,000 distinct ids</t>
  </si>
  <si>
    <t xml:space="preserve">Other Names</t>
  </si>
  <si>
    <t xml:space="preserve">First and middle given names held together in one text field.</t>
  </si>
  <si>
    <t xml:space="preserve">Text</t>
  </si>
  <si>
    <t xml:space="preserve">Hiroshi Noah Andres</t>
  </si>
  <si>
    <t xml:space="preserve">Free text - 14,355 distinct</t>
  </si>
  <si>
    <t xml:space="preserve">Personal data - exclude from published views</t>
  </si>
  <si>
    <t xml:space="preserve">Last Name</t>
  </si>
  <si>
    <t xml:space="preserve">Employee surname.</t>
  </si>
  <si>
    <t xml:space="preserve">Okafor</t>
  </si>
  <si>
    <t xml:space="preserve">Free text - only 28 distinct surnames</t>
  </si>
  <si>
    <t xml:space="preserve">ERROR - 1 missing (EmployeeID 28686). Client confirms it is Campbell</t>
  </si>
  <si>
    <t xml:space="preserve">Age</t>
  </si>
  <si>
    <t xml:space="preserve">Employee age in years at the time of extract.</t>
  </si>
  <si>
    <t xml:space="preserve">25</t>
  </si>
  <si>
    <t xml:space="preserve">Expected 18 to 65; actual -48 to 60</t>
  </si>
  <si>
    <t xml:space="preserve">ERROR - EmployeeID 279 is -48 (sign flipped, should be 48); EmployeeID 21187 is 0 (should be 30)</t>
  </si>
  <si>
    <t xml:space="preserve">Position</t>
  </si>
  <si>
    <t xml:space="preserve">Job title held by the employee.</t>
  </si>
  <si>
    <t xml:space="preserve">Analyst</t>
  </si>
  <si>
    <t xml:space="preserve">Analyst, Assistant, Consultant, Developer, Executive, Manager</t>
  </si>
  <si>
    <t xml:space="preserve">Date Joined</t>
  </si>
  <si>
    <t xml:space="preserve">Date the employee joined the company.</t>
  </si>
  <si>
    <t xml:space="preserve">45081</t>
  </si>
  <si>
    <t xml:space="preserve">42074 to 45724 = 11 Mar 2015 to 8 Mar 2025</t>
  </si>
  <si>
    <t xml:space="preserve">ERROR - stored as an Excel serial number, not a date. Must be converted</t>
  </si>
  <si>
    <t xml:space="preserve">Phone Number</t>
  </si>
  <si>
    <t xml:space="preserve">Ghana mobile telephone number.</t>
  </si>
  <si>
    <t xml:space="preserve">Decimal number</t>
  </si>
  <si>
    <t xml:space="preserve">233204093210</t>
  </si>
  <si>
    <t xml:space="preserve">All 29,997 present values are 12 digits beginning 233</t>
  </si>
  <si>
    <t xml:space="preserve">ERROR - 7 missing. Also stored as a number, which risks losing leading digits; convert to text</t>
  </si>
  <si>
    <t xml:space="preserve">Gender</t>
  </si>
  <si>
    <t xml:space="preserve">Employee gender.</t>
  </si>
  <si>
    <t xml:space="preserve">Male</t>
  </si>
  <si>
    <t xml:space="preserve">Male, Female</t>
  </si>
  <si>
    <t xml:space="preserve">ERROR - 7 missing, plus 1 misspelling 'Femal' at EmployeeID 21222</t>
  </si>
  <si>
    <t xml:space="preserve">employee_status</t>
  </si>
  <si>
    <t xml:space="preserve">Current employment status.</t>
  </si>
  <si>
    <t xml:space="preserve">Inactive</t>
  </si>
  <si>
    <t xml:space="preserve">Active, Inactive, On Leave</t>
  </si>
  <si>
    <t xml:space="preserve">ERROR - 7 missing. Client confirms all 7 are Active</t>
  </si>
  <si>
    <t xml:space="preserve">Three-letter code of the employee's department.</t>
  </si>
  <si>
    <t xml:space="preserve">FIN</t>
  </si>
  <si>
    <t xml:space="preserve">CST, DAT, ENG, FIN, HR, MKT, OPS, PRD</t>
  </si>
  <si>
    <t xml:space="preserve">Foreign key -&gt; Department</t>
  </si>
  <si>
    <t xml:space="preserve">ERROR - 1 missing (EmployeeID 25142). Client confirms it is FIN</t>
  </si>
  <si>
    <t xml:space="preserve">Email Address</t>
  </si>
  <si>
    <t xml:space="preserve">Work email address, derived from the employee name.</t>
  </si>
  <si>
    <t xml:space="preserve">Hiroshi.Noah.Andres.Okafor@roblox.com</t>
  </si>
  <si>
    <t xml:space="preserve">Free text - unique per employee</t>
  </si>
  <si>
    <t xml:space="preserve">8 rows x 2 columns. Grain: one row per department. Primary key: department_code. Small lookup table used to turn codes into readable names.</t>
  </si>
  <si>
    <t xml:space="preserve">Three-letter department code.</t>
  </si>
  <si>
    <t xml:space="preserve">Full department name.</t>
  </si>
  <si>
    <t xml:space="preserve">Finance Department</t>
  </si>
  <si>
    <t xml:space="preserve">8 names, each ending 'Department'</t>
  </si>
  <si>
    <t xml:space="preserve">Joined by department_performance</t>
  </si>
  <si>
    <t xml:space="preserve">NOTE - department_performance joins on this full name, not on the code</t>
  </si>
  <si>
    <t xml:space="preserve">30,001 rows x 8 columns. Grain: one row per employee. Primary key: Education Record_id. Contains 1 exact duplicate row - 30,000 employees are actually represented.</t>
  </si>
  <si>
    <t xml:space="preserve">Identifier of the education record.</t>
  </si>
  <si>
    <t xml:space="preserve">NOTE - identical to employee_id in every row, so it adds no information</t>
  </si>
  <si>
    <t xml:space="preserve">Employee the record belongs to.</t>
  </si>
  <si>
    <t xml:space="preserve">Foreign key -&gt; employee_dataset.EmployeeID</t>
  </si>
  <si>
    <t xml:space="preserve">NOTE - lowercase spelling differs from EmployeeID elsewhere</t>
  </si>
  <si>
    <t xml:space="preserve">Institution Country</t>
  </si>
  <si>
    <t xml:space="preserve">Country of the awarding institution.</t>
  </si>
  <si>
    <t xml:space="preserve">Ghana</t>
  </si>
  <si>
    <t xml:space="preserve">Canada, Ghana, South Africa, United Kingdom, United States</t>
  </si>
  <si>
    <t xml:space="preserve">Education Level</t>
  </si>
  <si>
    <t xml:space="preserve">Highest level of education attained.</t>
  </si>
  <si>
    <t xml:space="preserve">Master's Degree</t>
  </si>
  <si>
    <t xml:space="preserve">Diploma, Bachelor's Degree, Master's Degree, Doctoral Degree</t>
  </si>
  <si>
    <t xml:space="preserve">NOTE - ordinal. Set an explicit sort order for charts, or it sorts alphabetically</t>
  </si>
  <si>
    <t xml:space="preserve">institution Name</t>
  </si>
  <si>
    <t xml:space="preserve">Name of the awarding institution.</t>
  </si>
  <si>
    <t xml:space="preserve">Accra Technical University</t>
  </si>
  <si>
    <t xml:space="preserve">10 institutions</t>
  </si>
  <si>
    <t xml:space="preserve">NOTE - lowercase 'i' in the header, unlike its neighbours</t>
  </si>
  <si>
    <t xml:space="preserve">Degree Title</t>
  </si>
  <si>
    <t xml:space="preserve">Abbreviated qualification awarded.</t>
  </si>
  <si>
    <t xml:space="preserve">MSc</t>
  </si>
  <si>
    <t xml:space="preserve">BA, BSc, HND, MA, MBA, MPhil, MSc, PhD</t>
  </si>
  <si>
    <t xml:space="preserve">Field of Study</t>
  </si>
  <si>
    <t xml:space="preserve">Subject area of the qualification.</t>
  </si>
  <si>
    <t xml:space="preserve">Business Administration</t>
  </si>
  <si>
    <t xml:space="preserve">Business Administration, Computer Science, Data Analytics, Economics, Engineering, Information Technology, Information Technology &amp; Law, Physics</t>
  </si>
  <si>
    <t xml:space="preserve">REVIEW - drives objective 2. Note 5 records read 'Information Technology &amp; Law' vs 4,326 reading 'Information Technology' - likely a data entry variant</t>
  </si>
  <si>
    <t xml:space="preserve">Graduation Date</t>
  </si>
  <si>
    <t xml:space="preserve">Date the qualification was awarded.</t>
  </si>
  <si>
    <t xml:space="preserve">Date</t>
  </si>
  <si>
    <t xml:space="preserve">2026-06-30</t>
  </si>
  <si>
    <t xml:space="preserve">30 Jun 1987 to 30 Jun 2026</t>
  </si>
  <si>
    <t xml:space="preserve">NOTE - only 40 distinct dates; graduations are clustered on fixed days</t>
  </si>
  <si>
    <t xml:space="preserve">30,000 rows x 10 columns. Grain: one row per employee. Primary key: Health Id. Administrative insurance and leave data only - it contains no clinical or diagnostic information.</t>
  </si>
  <si>
    <t xml:space="preserve">Identifier of the health record.</t>
  </si>
  <si>
    <t xml:space="preserve">HLT-18804</t>
  </si>
  <si>
    <t xml:space="preserve">HLT- followed by 5 digits</t>
  </si>
  <si>
    <t xml:space="preserve">NOTE - contains a space, unlike EmployeeID elsewhere</t>
  </si>
  <si>
    <t xml:space="preserve">created_at</t>
  </si>
  <si>
    <t xml:space="preserve">Timestamp the record was created.</t>
  </si>
  <si>
    <t xml:space="preserve">Date and time</t>
  </si>
  <si>
    <t xml:space="preserve">2024-07-15 12:33:48</t>
  </si>
  <si>
    <t xml:space="preserve">2024 onwards</t>
  </si>
  <si>
    <t xml:space="preserve">Administrative field - not useful for analysis</t>
  </si>
  <si>
    <t xml:space="preserve">Updated_at</t>
  </si>
  <si>
    <t xml:space="preserve">Timestamp the record was last changed.</t>
  </si>
  <si>
    <t xml:space="preserve">2024-08-30 12:33:48</t>
  </si>
  <si>
    <t xml:space="preserve">NOTE - capitalised differently from created_at</t>
  </si>
  <si>
    <t xml:space="preserve">Medical_leave_eligible</t>
  </si>
  <si>
    <t xml:space="preserve">Whether the employee may take paid medical leave.</t>
  </si>
  <si>
    <t xml:space="preserve">No</t>
  </si>
  <si>
    <t xml:space="preserve">Yes, No</t>
  </si>
  <si>
    <t xml:space="preserve">Insurance_status</t>
  </si>
  <si>
    <t xml:space="preserve">Current state of the employee's health cover.</t>
  </si>
  <si>
    <t xml:space="preserve">Pending</t>
  </si>
  <si>
    <t xml:space="preserve">Active, Expired, Pending</t>
  </si>
  <si>
    <t xml:space="preserve">Drives objective 4 - health-related operational risk</t>
  </si>
  <si>
    <t xml:space="preserve">Insurance_provider</t>
  </si>
  <si>
    <t xml:space="preserve">Insurer holding the policy.</t>
  </si>
  <si>
    <t xml:space="preserve">Old Mutual Ghana</t>
  </si>
  <si>
    <t xml:space="preserve">6 providers</t>
  </si>
  <si>
    <t xml:space="preserve">Policy_number</t>
  </si>
  <si>
    <t xml:space="preserve">Insurance policy reference.</t>
  </si>
  <si>
    <t xml:space="preserve">POL-242981</t>
  </si>
  <si>
    <t xml:space="preserve">POL- followed by 6 digits</t>
  </si>
  <si>
    <t xml:space="preserve">Sensitive - exclude from published views</t>
  </si>
  <si>
    <t xml:space="preserve">Insurance_plan_type</t>
  </si>
  <si>
    <t xml:space="preserve">Level of cover held.</t>
  </si>
  <si>
    <t xml:space="preserve">Premium</t>
  </si>
  <si>
    <t xml:space="preserve">Basic, Standard, Premium, Family</t>
  </si>
  <si>
    <t xml:space="preserve">Medical_leave_balance</t>
  </si>
  <si>
    <t xml:space="preserve">Days of medical leave still available.</t>
  </si>
  <si>
    <t xml:space="preserve">27</t>
  </si>
  <si>
    <t xml:space="preserve">0 to 30</t>
  </si>
  <si>
    <t xml:space="preserve">Low balances flag wellbeing risk</t>
  </si>
  <si>
    <t xml:space="preserve">30,000 rows x 7 columns. Grain: one row per employee. Primary key: FinanceID. Contains bank and tax identifiers - handle as confidential throughout.</t>
  </si>
  <si>
    <t xml:space="preserve">Identifier of the finance record.</t>
  </si>
  <si>
    <t xml:space="preserve">FIN-1000</t>
  </si>
  <si>
    <t xml:space="preserve">FIN- followed by 4 or 5 digits</t>
  </si>
  <si>
    <t xml:space="preserve">NOTE - looks like the FIN department code but is unrelated</t>
  </si>
  <si>
    <t xml:space="preserve">Basic Salary</t>
  </si>
  <si>
    <t xml:space="preserve">Fixed base salary. The source does not state whether this is a monthly or an annual figure.</t>
  </si>
  <si>
    <t xml:space="preserve">8511</t>
  </si>
  <si>
    <t xml:space="preserve">2,500 to 15,000 USD</t>
  </si>
  <si>
    <t xml:space="preserve">REVIEW - currency confirmed USD by the client (SAC4), but the PERIOD is not stated. Ask the client before reporting any total</t>
  </si>
  <si>
    <t xml:space="preserve">TaxID</t>
  </si>
  <si>
    <t xml:space="preserve">National tax identification number.</t>
  </si>
  <si>
    <t xml:space="preserve">GHA-4755039712-0</t>
  </si>
  <si>
    <t xml:space="preserve">GHA- followed by 10 digits and a check digit</t>
  </si>
  <si>
    <t xml:space="preserve">Account Number</t>
  </si>
  <si>
    <t xml:space="preserve">Employee bank account number.</t>
  </si>
  <si>
    <t xml:space="preserve">857834499249</t>
  </si>
  <si>
    <t xml:space="preserve">5 to 13 digits - length is inconsistent</t>
  </si>
  <si>
    <t xml:space="preserve">REVIEW - lengths range from 5 to 13 digits. May be legitimate across 10 banks; confirm with the client</t>
  </si>
  <si>
    <t xml:space="preserve">NOTE - a third spelling of the employee identifier</t>
  </si>
  <si>
    <t xml:space="preserve">Allowances</t>
  </si>
  <si>
    <t xml:space="preserve">Additional non-salary payments, same unstated period as Basic Salary.</t>
  </si>
  <si>
    <t xml:space="preserve">522</t>
  </si>
  <si>
    <t xml:space="preserve">300 to 3,000 USD</t>
  </si>
  <si>
    <t xml:space="preserve">Total compensation = Basic Salary + Allowances. Period unconfirmed - see Basic Salary</t>
  </si>
  <si>
    <t xml:space="preserve">Bank Name</t>
  </si>
  <si>
    <t xml:space="preserve">Bank holding the account.</t>
  </si>
  <si>
    <t xml:space="preserve">Access Bank Ghana</t>
  </si>
  <si>
    <t xml:space="preserve">10 Ghanaian banks</t>
  </si>
  <si>
    <t xml:space="preserve">150,000 rows x 7 columns. Grain: one row per employee per year (30,000 employees x 5 years). Composite key: EmployeeID + Year. There is no single-column primary key.</t>
  </si>
  <si>
    <t xml:space="preserve">Part of the composite key with Year</t>
  </si>
  <si>
    <t xml:space="preserve">Year</t>
  </si>
  <si>
    <t xml:space="preserve">Performance year.</t>
  </si>
  <si>
    <t xml:space="preserve">2021</t>
  </si>
  <si>
    <t xml:space="preserve">2021, 2022, 2023, 2024, 2025</t>
  </si>
  <si>
    <t xml:space="preserve">Part of composite key</t>
  </si>
  <si>
    <t xml:space="preserve">Format as text in charts so it does not display as 2,021</t>
  </si>
  <si>
    <t xml:space="preserve">Performance_Score</t>
  </si>
  <si>
    <t xml:space="preserve">Annual performance rating.</t>
  </si>
  <si>
    <t xml:space="preserve">2.87</t>
  </si>
  <si>
    <t xml:space="preserve">2.20 to 5.00</t>
  </si>
  <si>
    <t xml:space="preserve">Average across years for a per-employee view</t>
  </si>
  <si>
    <t xml:space="preserve">Projects_Completed</t>
  </si>
  <si>
    <t xml:space="preserve">Number of projects finished that year.</t>
  </si>
  <si>
    <t xml:space="preserve">1 to 10</t>
  </si>
  <si>
    <t xml:space="preserve">Training_Hours</t>
  </si>
  <si>
    <t xml:space="preserve">Hours of training completed that year.</t>
  </si>
  <si>
    <t xml:space="preserve">88</t>
  </si>
  <si>
    <t xml:space="preserve">10 to 100</t>
  </si>
  <si>
    <t xml:space="preserve">Individual hours; the department table holds department totals</t>
  </si>
  <si>
    <t xml:space="preserve">Attendance_Rate (%)</t>
  </si>
  <si>
    <t xml:space="preserve">Percentage of working days attended.</t>
  </si>
  <si>
    <t xml:space="preserve">85.66</t>
  </si>
  <si>
    <t xml:space="preserve">85.00 to 100.00</t>
  </si>
  <si>
    <t xml:space="preserve">NOTE - stored as a number out of 100, not a fraction. Do not format as a percentage without dividing by 100</t>
  </si>
  <si>
    <t xml:space="preserve">Bonus_Awarded</t>
  </si>
  <si>
    <t xml:space="preserve">Whether a bonus was paid that year.</t>
  </si>
  <si>
    <t xml:space="preserve">40 rows x 7 columns. Grain: one row per department per year (8 departments x 5 years). Composite key: Department + Year. Figures are pre-aggregated and cannot be traced to individuals.</t>
  </si>
  <si>
    <t xml:space="preserve">DepartmentId</t>
  </si>
  <si>
    <t xml:space="preserve">Row number of this department-year record.</t>
  </si>
  <si>
    <t xml:space="preserve">1 to 40</t>
  </si>
  <si>
    <t xml:space="preserve">Primary key (surrogate)</t>
  </si>
  <si>
    <t xml:space="preserve">REVIEW - this is a row counter, NOT a department identifier. Never join it to Department.department_code</t>
  </si>
  <si>
    <t xml:space="preserve">Full name of the department.</t>
  </si>
  <si>
    <t xml:space="preserve">The same 8 names as Department.department_name</t>
  </si>
  <si>
    <t xml:space="preserve">Foreign key -&gt; Department.department_name</t>
  </si>
  <si>
    <t xml:space="preserve">Verified: all 8 names match exactly</t>
  </si>
  <si>
    <t xml:space="preserve">Reporting year.</t>
  </si>
  <si>
    <t xml:space="preserve">Average_Performance_Score</t>
  </si>
  <si>
    <t xml:space="preserve">Mean performance score for the department that year.</t>
  </si>
  <si>
    <t xml:space="preserve">3.56</t>
  </si>
  <si>
    <t xml:space="preserve">3.06 to 4.99</t>
  </si>
  <si>
    <t xml:space="preserve">Pre-aggregated - do not average an average across departments of different sizes</t>
  </si>
  <si>
    <t xml:space="preserve">Total_Revenue_Generated</t>
  </si>
  <si>
    <t xml:space="preserve">Revenue attributed to the department that year.</t>
  </si>
  <si>
    <t xml:space="preserve">3716375</t>
  </si>
  <si>
    <t xml:space="preserve">831,510 to 4,365,970 USD</t>
  </si>
  <si>
    <t xml:space="preserve">Drives objective 5 - departmental efficiency</t>
  </si>
  <si>
    <t xml:space="preserve">Total_Cost</t>
  </si>
  <si>
    <t xml:space="preserve">Total cost of running the department that year.</t>
  </si>
  <si>
    <t xml:space="preserve">2572212</t>
  </si>
  <si>
    <t xml:space="preserve">503,513 to 2,832,720 USD</t>
  </si>
  <si>
    <t xml:space="preserve">REVIEW - does NOT reconcile with finance_dataset. Summed salary+allowances is about 21x this figure, so the two tables are on different scales. Use each within its own table only</t>
  </si>
  <si>
    <t xml:space="preserve">Training_Hours_Completed</t>
  </si>
  <si>
    <t xml:space="preserve">Total training hours delivered in the department that year.</t>
  </si>
  <si>
    <t xml:space="preserve">1206</t>
  </si>
  <si>
    <t xml:space="preserve">306 to 2,948</t>
  </si>
  <si>
    <t xml:space="preserve">Department total, unlike the per-employee Training_Hours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</si>
</sst>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6233A"/>
      <name val="Arial"/>
      <family val="0"/>
      <charset val="1"/>
    </font>
    <font>
      <sz val="11"/>
      <color rgb="FF4A5A7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6233A"/>
      <name val="Arial"/>
      <family val="0"/>
      <charset val="1"/>
    </font>
    <font>
      <i val="true"/>
      <sz val="9"/>
      <color rgb="FF4A5A75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E4EA"/>
        <bgColor rgb="FFFFF3D6"/>
      </patternFill>
    </fill>
    <fill>
      <patternFill patternType="solid">
        <fgColor rgb="FFFFF3D6"/>
        <bgColor rgb="FFFFE4EA"/>
      </patternFill>
    </fill>
    <fill>
      <patternFill patternType="solid">
        <fgColor rgb="FFE2F7EF"/>
        <bgColor rgb="FFCCFFFF"/>
      </patternFill>
    </fill>
    <fill>
      <patternFill patternType="solid">
        <fgColor rgb="FFFFFFFF"/>
        <bgColor rgb="FFFFF3D6"/>
      </patternFill>
    </fill>
    <fill>
      <patternFill patternType="solid">
        <fgColor rgb="FF16233A"/>
        <bgColor rgb="FF003366"/>
      </patternFill>
    </fill>
    <fill>
      <patternFill patternType="solid">
        <fgColor rgb="FFFFD166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E8"/>
      </left>
      <right style="thin">
        <color rgb="FFC9D6E8"/>
      </right>
      <top style="thin">
        <color rgb="FFC9D6E8"/>
      </top>
      <bottom style="thin">
        <color rgb="FFC9D6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623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7EF"/>
          <bgColor rgb="FF000000"/>
        </patternFill>
      </fill>
    </dxf>
    <dxf>
      <fill>
        <patternFill patternType="solid">
          <fgColor rgb="FFFFE4EA"/>
          <bgColor rgb="FF000000"/>
        </patternFill>
      </fill>
    </dxf>
    <dxf>
      <fill>
        <patternFill patternType="solid">
          <fgColor rgb="FFFFF3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E2F7EF"/>
      <rgbColor rgb="FF660066"/>
      <rgbColor rgb="FFFF8080"/>
      <rgbColor rgb="FF0066CC"/>
      <rgbColor rgb="FFC9D6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4EA"/>
      <rgbColor rgb="FF99CCFF"/>
      <rgbColor rgb="FFFF99CC"/>
      <rgbColor rgb="FFCC99FF"/>
      <rgbColor rgb="FFFFD166"/>
      <rgbColor rgb="FF3366FF"/>
      <rgbColor rgb="FF33CCCC"/>
      <rgbColor rgb="FF99CC00"/>
      <rgbColor rgb="FFFFCC00"/>
      <rgbColor rgb="FFFF9900"/>
      <rgbColor rgb="FFFF6600"/>
      <rgbColor rgb="FF4A5A7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3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5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5" t="s">
        <v>2</v>
      </c>
      <c r="B5" s="4" t="s">
        <v>3</v>
      </c>
    </row>
    <row r="6" customFormat="false" ht="15" hidden="false" customHeight="false" outlineLevel="0" collapsed="false">
      <c r="A6" s="5" t="s">
        <v>4</v>
      </c>
      <c r="B6" s="4" t="s">
        <v>5</v>
      </c>
    </row>
    <row r="7" customFormat="false" ht="15" hidden="false" customHeight="false" outlineLevel="0" collapsed="false">
      <c r="A7" s="5" t="s">
        <v>6</v>
      </c>
      <c r="B7" s="4" t="s">
        <v>7</v>
      </c>
    </row>
    <row r="8" customFormat="false" ht="15" hidden="false" customHeight="false" outlineLevel="0" collapsed="false">
      <c r="A8" s="5" t="s">
        <v>8</v>
      </c>
      <c r="B8" s="4" t="s">
        <v>9</v>
      </c>
    </row>
    <row r="9" customFormat="false" ht="15" hidden="false" customHeight="false" outlineLevel="0" collapsed="false">
      <c r="A9" s="5" t="s">
        <v>10</v>
      </c>
      <c r="B9" s="4" t="s">
        <v>11</v>
      </c>
    </row>
    <row r="10" customFormat="false" ht="15" hidden="false" customHeight="false" outlineLevel="0" collapsed="false">
      <c r="A10" s="3"/>
      <c r="B10" s="4"/>
    </row>
    <row r="11" customFormat="false" ht="15" hidden="false" customHeight="false" outlineLevel="0" collapsed="false">
      <c r="A11" s="5" t="s">
        <v>12</v>
      </c>
      <c r="B11" s="4"/>
    </row>
    <row r="12" customFormat="false" ht="15" hidden="false" customHeight="false" outlineLevel="0" collapsed="false">
      <c r="A12" s="3" t="s">
        <v>13</v>
      </c>
      <c r="B12" s="4" t="s">
        <v>14</v>
      </c>
    </row>
    <row r="13" customFormat="false" ht="15" hidden="false" customHeight="false" outlineLevel="0" collapsed="false">
      <c r="A13" s="3" t="s">
        <v>15</v>
      </c>
      <c r="B13" s="4" t="s">
        <v>16</v>
      </c>
    </row>
    <row r="14" customFormat="false" ht="15" hidden="false" customHeight="false" outlineLevel="0" collapsed="false">
      <c r="A14" s="3" t="s">
        <v>17</v>
      </c>
      <c r="B14" s="4" t="s">
        <v>18</v>
      </c>
    </row>
    <row r="15" customFormat="false" ht="15" hidden="false" customHeight="false" outlineLevel="0" collapsed="false">
      <c r="A15" s="3"/>
      <c r="B15" s="4"/>
    </row>
    <row r="16" customFormat="false" ht="15" hidden="false" customHeight="false" outlineLevel="0" collapsed="false">
      <c r="A16" s="5" t="s">
        <v>19</v>
      </c>
      <c r="B16" s="4"/>
    </row>
    <row r="17" customFormat="false" ht="15" hidden="false" customHeight="false" outlineLevel="0" collapsed="false">
      <c r="A17" s="6" t="s">
        <v>20</v>
      </c>
      <c r="B17" s="4" t="s">
        <v>21</v>
      </c>
    </row>
    <row r="18" customFormat="false" ht="15" hidden="false" customHeight="false" outlineLevel="0" collapsed="false">
      <c r="A18" s="7" t="s">
        <v>22</v>
      </c>
      <c r="B18" s="4" t="s">
        <v>23</v>
      </c>
    </row>
    <row r="19" customFormat="false" ht="15" hidden="false" customHeight="false" outlineLevel="0" collapsed="false">
      <c r="A19" s="8" t="s">
        <v>24</v>
      </c>
      <c r="B19" s="4" t="s">
        <v>25</v>
      </c>
    </row>
    <row r="20" customFormat="false" ht="15" hidden="false" customHeight="false" outlineLevel="0" collapsed="false">
      <c r="A20" s="9" t="s">
        <v>26</v>
      </c>
      <c r="B20" s="4" t="s">
        <v>27</v>
      </c>
    </row>
    <row r="21" customFormat="false" ht="15" hidden="false" customHeight="false" outlineLevel="0" collapsed="false">
      <c r="A21" s="3"/>
      <c r="B21" s="4"/>
    </row>
    <row r="22" customFormat="false" ht="15" hidden="false" customHeight="false" outlineLevel="0" collapsed="false">
      <c r="A22" s="5" t="s">
        <v>28</v>
      </c>
      <c r="B22" s="4" t="s">
        <v>29</v>
      </c>
    </row>
    <row r="23" customFormat="false" ht="15" hidden="false" customHeight="false" outlineLevel="0" collapsed="false">
      <c r="A23" s="3"/>
      <c r="B23" s="4" t="s">
        <v>30</v>
      </c>
    </row>
    <row r="24" customFormat="false" ht="15" hidden="false" customHeight="false" outlineLevel="0" collapsed="false">
      <c r="A24" s="5" t="s">
        <v>31</v>
      </c>
      <c r="B24" s="4" t="s">
        <v>32</v>
      </c>
    </row>
    <row r="25" customFormat="false" ht="15" hidden="false" customHeight="false" outlineLevel="0" collapsed="false">
      <c r="A25" s="3"/>
      <c r="B25" s="4" t="s">
        <v>33</v>
      </c>
    </row>
    <row r="26" customFormat="false" ht="15" hidden="false" customHeight="false" outlineLevel="0" collapsed="false">
      <c r="A26" s="3" t="s">
        <v>34</v>
      </c>
      <c r="B26" s="4" t="s">
        <v>35</v>
      </c>
    </row>
    <row r="27" customFormat="false" ht="15" hidden="false" customHeight="false" outlineLevel="0" collapsed="false">
      <c r="A27" s="3"/>
      <c r="B27" s="4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26"/>
    <col collapsed="false" customWidth="true" hidden="false" outlineLevel="0" max="7" min="7" style="0" width="34"/>
    <col collapsed="false" customWidth="true" hidden="false" outlineLevel="0" max="8" min="8" style="0" width="58"/>
  </cols>
  <sheetData>
    <row r="1" customFormat="false" ht="17.35" hidden="false" customHeight="false" outlineLevel="0" collapsed="false">
      <c r="A1" s="10" t="s">
        <v>37</v>
      </c>
    </row>
    <row r="2" customFormat="false" ht="15" hidden="false" customHeight="false" outlineLevel="0" collapsed="false">
      <c r="A2" s="11" t="s">
        <v>38</v>
      </c>
    </row>
    <row r="4" customFormat="false" ht="27.75" hidden="false" customHeight="true" outlineLevel="0" collapsed="false">
      <c r="A4" s="12" t="s">
        <v>39</v>
      </c>
      <c r="B4" s="12" t="s">
        <v>40</v>
      </c>
      <c r="C4" s="12" t="s">
        <v>41</v>
      </c>
      <c r="D4" s="12" t="s">
        <v>42</v>
      </c>
      <c r="E4" s="12" t="s">
        <v>43</v>
      </c>
      <c r="F4" s="12" t="s">
        <v>44</v>
      </c>
      <c r="G4" s="12" t="s">
        <v>45</v>
      </c>
      <c r="H4" s="12" t="s">
        <v>46</v>
      </c>
    </row>
    <row r="5" customFormat="false" ht="15" hidden="false" customHeight="false" outlineLevel="0" collapsed="false">
      <c r="A5" s="13" t="n">
        <v>1</v>
      </c>
      <c r="B5" s="13" t="s">
        <v>47</v>
      </c>
      <c r="C5" s="14" t="n">
        <v>30004</v>
      </c>
      <c r="D5" s="14" t="n">
        <v>11</v>
      </c>
      <c r="E5" s="14" t="s">
        <v>48</v>
      </c>
      <c r="F5" s="14" t="s">
        <v>49</v>
      </c>
      <c r="G5" s="14" t="s">
        <v>50</v>
      </c>
      <c r="H5" s="14" t="s">
        <v>51</v>
      </c>
    </row>
    <row r="6" customFormat="false" ht="23.85" hidden="false" customHeight="false" outlineLevel="0" collapsed="false">
      <c r="A6" s="13" t="n">
        <v>2</v>
      </c>
      <c r="B6" s="13" t="s">
        <v>52</v>
      </c>
      <c r="C6" s="14" t="n">
        <v>8</v>
      </c>
      <c r="D6" s="14" t="n">
        <v>2</v>
      </c>
      <c r="E6" s="14" t="s">
        <v>53</v>
      </c>
      <c r="F6" s="14" t="s">
        <v>54</v>
      </c>
      <c r="G6" s="14" t="s">
        <v>55</v>
      </c>
      <c r="H6" s="14" t="s">
        <v>56</v>
      </c>
    </row>
    <row r="7" customFormat="false" ht="15" hidden="false" customHeight="false" outlineLevel="0" collapsed="false">
      <c r="A7" s="13" t="n">
        <v>3</v>
      </c>
      <c r="B7" s="13" t="s">
        <v>57</v>
      </c>
      <c r="C7" s="14" t="n">
        <v>30001</v>
      </c>
      <c r="D7" s="14" t="n">
        <v>8</v>
      </c>
      <c r="E7" s="14" t="s">
        <v>48</v>
      </c>
      <c r="F7" s="14" t="s">
        <v>58</v>
      </c>
      <c r="G7" s="14" t="s">
        <v>59</v>
      </c>
      <c r="H7" s="14" t="s">
        <v>60</v>
      </c>
    </row>
    <row r="8" customFormat="false" ht="15" hidden="false" customHeight="false" outlineLevel="0" collapsed="false">
      <c r="A8" s="13" t="n">
        <v>4</v>
      </c>
      <c r="B8" s="13" t="s">
        <v>61</v>
      </c>
      <c r="C8" s="14" t="n">
        <v>30000</v>
      </c>
      <c r="D8" s="14" t="n">
        <v>10</v>
      </c>
      <c r="E8" s="14" t="s">
        <v>48</v>
      </c>
      <c r="F8" s="14" t="s">
        <v>62</v>
      </c>
      <c r="G8" s="14" t="s">
        <v>63</v>
      </c>
      <c r="H8" s="14" t="s">
        <v>64</v>
      </c>
    </row>
    <row r="9" customFormat="false" ht="15" hidden="false" customHeight="false" outlineLevel="0" collapsed="false">
      <c r="A9" s="13" t="n">
        <v>5</v>
      </c>
      <c r="B9" s="13" t="s">
        <v>65</v>
      </c>
      <c r="C9" s="14" t="n">
        <v>30000</v>
      </c>
      <c r="D9" s="14" t="n">
        <v>7</v>
      </c>
      <c r="E9" s="14" t="s">
        <v>48</v>
      </c>
      <c r="F9" s="14" t="s">
        <v>66</v>
      </c>
      <c r="G9" s="14" t="s">
        <v>67</v>
      </c>
      <c r="H9" s="14" t="s">
        <v>68</v>
      </c>
    </row>
    <row r="10" customFormat="false" ht="23.85" hidden="false" customHeight="false" outlineLevel="0" collapsed="false">
      <c r="A10" s="13" t="n">
        <v>6</v>
      </c>
      <c r="B10" s="13" t="s">
        <v>69</v>
      </c>
      <c r="C10" s="14" t="n">
        <v>150000</v>
      </c>
      <c r="D10" s="14" t="n">
        <v>7</v>
      </c>
      <c r="E10" s="14" t="s">
        <v>70</v>
      </c>
      <c r="F10" s="14" t="s">
        <v>71</v>
      </c>
      <c r="G10" s="14" t="s">
        <v>72</v>
      </c>
      <c r="H10" s="14" t="s">
        <v>73</v>
      </c>
    </row>
    <row r="11" customFormat="false" ht="15" hidden="false" customHeight="false" outlineLevel="0" collapsed="false">
      <c r="A11" s="13" t="n">
        <v>7</v>
      </c>
      <c r="B11" s="13" t="s">
        <v>74</v>
      </c>
      <c r="C11" s="14" t="n">
        <v>40</v>
      </c>
      <c r="D11" s="14" t="n">
        <v>7</v>
      </c>
      <c r="E11" s="14" t="s">
        <v>75</v>
      </c>
      <c r="F11" s="14" t="s">
        <v>76</v>
      </c>
      <c r="G11" s="14" t="s">
        <v>77</v>
      </c>
      <c r="H11" s="14" t="s">
        <v>78</v>
      </c>
    </row>
    <row r="12" customFormat="false" ht="15" hidden="false" customHeight="false" outlineLevel="0" collapsed="false">
      <c r="B12" s="15" t="s">
        <v>79</v>
      </c>
      <c r="C12" s="15" t="n">
        <f aca="false">SUM(C5:C11)</f>
        <v>270053</v>
      </c>
      <c r="D12" s="15" t="n">
        <f aca="false">SUM(D5:D11)</f>
        <v>52</v>
      </c>
    </row>
  </sheetData>
  <autoFilter ref="A4:H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42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10" t="s">
        <v>80</v>
      </c>
    </row>
    <row r="2" customFormat="false" ht="15" hidden="false" customHeight="false" outlineLevel="0" collapsed="false">
      <c r="A2" s="11" t="s">
        <v>81</v>
      </c>
    </row>
    <row r="4" customFormat="false" ht="27.75" hidden="false" customHeight="true" outlineLevel="0" collapsed="false">
      <c r="A4" s="12" t="s">
        <v>82</v>
      </c>
      <c r="B4" s="12" t="s">
        <v>83</v>
      </c>
      <c r="C4" s="12" t="s">
        <v>84</v>
      </c>
      <c r="D4" s="12" t="s">
        <v>85</v>
      </c>
      <c r="E4" s="12" t="s">
        <v>86</v>
      </c>
      <c r="F4" s="12" t="s">
        <v>87</v>
      </c>
      <c r="G4" s="12" t="s">
        <v>88</v>
      </c>
    </row>
    <row r="5" customFormat="false" ht="15" hidden="false" customHeight="false" outlineLevel="0" collapsed="false">
      <c r="A5" s="13" t="s">
        <v>89</v>
      </c>
      <c r="B5" s="13" t="s">
        <v>90</v>
      </c>
      <c r="C5" s="14" t="s">
        <v>91</v>
      </c>
      <c r="D5" s="14" t="s">
        <v>54</v>
      </c>
      <c r="E5" s="14" t="s">
        <v>92</v>
      </c>
      <c r="F5" s="14" t="s">
        <v>93</v>
      </c>
      <c r="G5" s="14" t="s">
        <v>94</v>
      </c>
    </row>
    <row r="6" customFormat="false" ht="15" hidden="false" customHeight="false" outlineLevel="0" collapsed="false">
      <c r="A6" s="13" t="s">
        <v>95</v>
      </c>
      <c r="B6" s="13" t="s">
        <v>96</v>
      </c>
      <c r="C6" s="14" t="s">
        <v>89</v>
      </c>
      <c r="D6" s="14" t="s">
        <v>49</v>
      </c>
      <c r="E6" s="14" t="s">
        <v>97</v>
      </c>
      <c r="F6" s="14" t="s">
        <v>98</v>
      </c>
      <c r="G6" s="14" t="s">
        <v>99</v>
      </c>
    </row>
    <row r="7" customFormat="false" ht="15" hidden="false" customHeight="false" outlineLevel="0" collapsed="false">
      <c r="A7" s="13" t="s">
        <v>100</v>
      </c>
      <c r="B7" s="13" t="s">
        <v>101</v>
      </c>
      <c r="C7" s="14" t="s">
        <v>89</v>
      </c>
      <c r="D7" s="14" t="s">
        <v>49</v>
      </c>
      <c r="E7" s="14" t="s">
        <v>97</v>
      </c>
      <c r="F7" s="14" t="s">
        <v>98</v>
      </c>
      <c r="G7" s="14" t="s">
        <v>99</v>
      </c>
    </row>
    <row r="8" customFormat="false" ht="15" hidden="false" customHeight="false" outlineLevel="0" collapsed="false">
      <c r="A8" s="13" t="s">
        <v>102</v>
      </c>
      <c r="B8" s="13" t="s">
        <v>103</v>
      </c>
      <c r="C8" s="14" t="s">
        <v>89</v>
      </c>
      <c r="D8" s="14" t="s">
        <v>49</v>
      </c>
      <c r="E8" s="14" t="s">
        <v>97</v>
      </c>
      <c r="F8" s="14" t="s">
        <v>98</v>
      </c>
      <c r="G8" s="14" t="s">
        <v>99</v>
      </c>
    </row>
    <row r="9" customFormat="false" ht="23.85" hidden="false" customHeight="false" outlineLevel="0" collapsed="false">
      <c r="A9" s="13" t="s">
        <v>104</v>
      </c>
      <c r="B9" s="13" t="s">
        <v>49</v>
      </c>
      <c r="C9" s="14" t="s">
        <v>89</v>
      </c>
      <c r="D9" s="14" t="s">
        <v>49</v>
      </c>
      <c r="E9" s="14" t="s">
        <v>92</v>
      </c>
      <c r="F9" s="14" t="s">
        <v>105</v>
      </c>
      <c r="G9" s="14" t="s">
        <v>106</v>
      </c>
    </row>
    <row r="10" customFormat="false" ht="15" hidden="false" customHeight="false" outlineLevel="0" collapsed="false">
      <c r="A10" s="13" t="s">
        <v>107</v>
      </c>
      <c r="B10" s="13" t="s">
        <v>91</v>
      </c>
      <c r="C10" s="14" t="s">
        <v>91</v>
      </c>
      <c r="D10" s="14" t="s">
        <v>108</v>
      </c>
      <c r="E10" s="14" t="s">
        <v>92</v>
      </c>
      <c r="F10" s="14" t="s">
        <v>109</v>
      </c>
      <c r="G10" s="14" t="s">
        <v>110</v>
      </c>
    </row>
  </sheetData>
  <autoFilter ref="A4:G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42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46"/>
  </cols>
  <sheetData>
    <row r="1" customFormat="false" ht="17.35" hidden="false" customHeight="false" outlineLevel="0" collapsed="false">
      <c r="A1" s="10" t="s">
        <v>47</v>
      </c>
    </row>
    <row r="2" customFormat="false" ht="15" hidden="false" customHeight="false" outlineLevel="0" collapsed="false">
      <c r="A2" s="11" t="s">
        <v>111</v>
      </c>
    </row>
    <row r="4" customFormat="false" ht="27.75" hidden="false" customHeight="true" outlineLevel="0" collapsed="false">
      <c r="A4" s="12" t="s">
        <v>112</v>
      </c>
      <c r="B4" s="12" t="s">
        <v>113</v>
      </c>
      <c r="C4" s="12" t="s">
        <v>114</v>
      </c>
      <c r="D4" s="12" t="s">
        <v>115</v>
      </c>
      <c r="E4" s="12" t="s">
        <v>116</v>
      </c>
      <c r="F4" s="12" t="s">
        <v>117</v>
      </c>
      <c r="G4" s="12" t="s">
        <v>118</v>
      </c>
      <c r="H4" s="12" t="s">
        <v>119</v>
      </c>
      <c r="I4" s="12" t="s">
        <v>120</v>
      </c>
    </row>
    <row r="5" customFormat="false" ht="23.85" hidden="false" customHeight="false" outlineLevel="0" collapsed="false">
      <c r="A5" s="16" t="s">
        <v>49</v>
      </c>
      <c r="B5" s="16" t="s">
        <v>121</v>
      </c>
      <c r="C5" s="17" t="s">
        <v>122</v>
      </c>
      <c r="D5" s="17" t="s">
        <v>123</v>
      </c>
      <c r="E5" s="17" t="s">
        <v>124</v>
      </c>
      <c r="F5" s="17" t="n">
        <v>0</v>
      </c>
      <c r="G5" s="17" t="n">
        <v>30000</v>
      </c>
      <c r="H5" s="17" t="s">
        <v>44</v>
      </c>
      <c r="I5" s="17" t="s">
        <v>125</v>
      </c>
    </row>
    <row r="6" customFormat="false" ht="15" hidden="false" customHeight="false" outlineLevel="0" collapsed="false">
      <c r="A6" s="16" t="s">
        <v>126</v>
      </c>
      <c r="B6" s="16" t="s">
        <v>127</v>
      </c>
      <c r="C6" s="17" t="s">
        <v>128</v>
      </c>
      <c r="D6" s="17" t="s">
        <v>129</v>
      </c>
      <c r="E6" s="17" t="s">
        <v>130</v>
      </c>
      <c r="F6" s="17" t="n">
        <v>0</v>
      </c>
      <c r="G6" s="17" t="n">
        <v>14355</v>
      </c>
      <c r="H6" s="17"/>
      <c r="I6" s="17" t="s">
        <v>131</v>
      </c>
    </row>
    <row r="7" customFormat="false" ht="23.85" hidden="false" customHeight="false" outlineLevel="0" collapsed="false">
      <c r="A7" s="18" t="s">
        <v>132</v>
      </c>
      <c r="B7" s="18" t="s">
        <v>133</v>
      </c>
      <c r="C7" s="19" t="s">
        <v>128</v>
      </c>
      <c r="D7" s="19" t="s">
        <v>134</v>
      </c>
      <c r="E7" s="19" t="s">
        <v>135</v>
      </c>
      <c r="F7" s="19" t="n">
        <v>1</v>
      </c>
      <c r="G7" s="19" t="n">
        <v>28</v>
      </c>
      <c r="H7" s="19"/>
      <c r="I7" s="19" t="s">
        <v>136</v>
      </c>
    </row>
    <row r="8" customFormat="false" ht="23.85" hidden="false" customHeight="false" outlineLevel="0" collapsed="false">
      <c r="A8" s="18" t="s">
        <v>137</v>
      </c>
      <c r="B8" s="18" t="s">
        <v>138</v>
      </c>
      <c r="C8" s="19" t="s">
        <v>122</v>
      </c>
      <c r="D8" s="19" t="s">
        <v>139</v>
      </c>
      <c r="E8" s="19" t="s">
        <v>140</v>
      </c>
      <c r="F8" s="19" t="n">
        <v>0</v>
      </c>
      <c r="G8" s="19" t="n">
        <v>41</v>
      </c>
      <c r="H8" s="19"/>
      <c r="I8" s="19" t="s">
        <v>141</v>
      </c>
    </row>
    <row r="9" customFormat="false" ht="23.85" hidden="false" customHeight="false" outlineLevel="0" collapsed="false">
      <c r="A9" s="13" t="s">
        <v>142</v>
      </c>
      <c r="B9" s="13" t="s">
        <v>143</v>
      </c>
      <c r="C9" s="14" t="s">
        <v>128</v>
      </c>
      <c r="D9" s="14" t="s">
        <v>144</v>
      </c>
      <c r="E9" s="14" t="s">
        <v>145</v>
      </c>
      <c r="F9" s="14" t="n">
        <v>0</v>
      </c>
      <c r="G9" s="14" t="n">
        <v>6</v>
      </c>
      <c r="H9" s="14"/>
      <c r="I9" s="14"/>
    </row>
    <row r="10" customFormat="false" ht="23.85" hidden="false" customHeight="false" outlineLevel="0" collapsed="false">
      <c r="A10" s="18" t="s">
        <v>146</v>
      </c>
      <c r="B10" s="18" t="s">
        <v>147</v>
      </c>
      <c r="C10" s="19" t="s">
        <v>122</v>
      </c>
      <c r="D10" s="19" t="s">
        <v>148</v>
      </c>
      <c r="E10" s="19" t="s">
        <v>149</v>
      </c>
      <c r="F10" s="19" t="n">
        <v>0</v>
      </c>
      <c r="G10" s="19" t="n">
        <v>3649</v>
      </c>
      <c r="H10" s="19"/>
      <c r="I10" s="19" t="s">
        <v>150</v>
      </c>
    </row>
    <row r="11" customFormat="false" ht="23.85" hidden="false" customHeight="false" outlineLevel="0" collapsed="false">
      <c r="A11" s="18" t="s">
        <v>151</v>
      </c>
      <c r="B11" s="18" t="s">
        <v>152</v>
      </c>
      <c r="C11" s="19" t="s">
        <v>153</v>
      </c>
      <c r="D11" s="19" t="s">
        <v>154</v>
      </c>
      <c r="E11" s="19" t="s">
        <v>155</v>
      </c>
      <c r="F11" s="19" t="n">
        <v>7</v>
      </c>
      <c r="G11" s="19" t="n">
        <v>29993</v>
      </c>
      <c r="H11" s="19"/>
      <c r="I11" s="19" t="s">
        <v>156</v>
      </c>
    </row>
    <row r="12" customFormat="false" ht="23.85" hidden="false" customHeight="false" outlineLevel="0" collapsed="false">
      <c r="A12" s="18" t="s">
        <v>157</v>
      </c>
      <c r="B12" s="18" t="s">
        <v>158</v>
      </c>
      <c r="C12" s="19" t="s">
        <v>128</v>
      </c>
      <c r="D12" s="19" t="s">
        <v>159</v>
      </c>
      <c r="E12" s="19" t="s">
        <v>160</v>
      </c>
      <c r="F12" s="19" t="n">
        <v>7</v>
      </c>
      <c r="G12" s="19" t="n">
        <v>3</v>
      </c>
      <c r="H12" s="19"/>
      <c r="I12" s="19" t="s">
        <v>161</v>
      </c>
    </row>
    <row r="13" customFormat="false" ht="15" hidden="false" customHeight="false" outlineLevel="0" collapsed="false">
      <c r="A13" s="18" t="s">
        <v>162</v>
      </c>
      <c r="B13" s="18" t="s">
        <v>163</v>
      </c>
      <c r="C13" s="19" t="s">
        <v>128</v>
      </c>
      <c r="D13" s="19" t="s">
        <v>164</v>
      </c>
      <c r="E13" s="19" t="s">
        <v>165</v>
      </c>
      <c r="F13" s="19" t="n">
        <v>7</v>
      </c>
      <c r="G13" s="19" t="n">
        <v>3</v>
      </c>
      <c r="H13" s="19"/>
      <c r="I13" s="19" t="s">
        <v>166</v>
      </c>
    </row>
    <row r="14" customFormat="false" ht="35.05" hidden="false" customHeight="false" outlineLevel="0" collapsed="false">
      <c r="A14" s="18" t="s">
        <v>90</v>
      </c>
      <c r="B14" s="18" t="s">
        <v>167</v>
      </c>
      <c r="C14" s="19" t="s">
        <v>128</v>
      </c>
      <c r="D14" s="19" t="s">
        <v>168</v>
      </c>
      <c r="E14" s="19" t="s">
        <v>169</v>
      </c>
      <c r="F14" s="19" t="n">
        <v>1</v>
      </c>
      <c r="G14" s="19" t="n">
        <v>8</v>
      </c>
      <c r="H14" s="19" t="s">
        <v>170</v>
      </c>
      <c r="I14" s="19" t="s">
        <v>171</v>
      </c>
    </row>
    <row r="15" customFormat="false" ht="23.85" hidden="false" customHeight="false" outlineLevel="0" collapsed="false">
      <c r="A15" s="16" t="s">
        <v>172</v>
      </c>
      <c r="B15" s="16" t="s">
        <v>173</v>
      </c>
      <c r="C15" s="17" t="s">
        <v>128</v>
      </c>
      <c r="D15" s="17" t="s">
        <v>174</v>
      </c>
      <c r="E15" s="17" t="s">
        <v>175</v>
      </c>
      <c r="F15" s="17" t="n">
        <v>0</v>
      </c>
      <c r="G15" s="17" t="n">
        <v>30000</v>
      </c>
      <c r="H15" s="17"/>
      <c r="I15" s="17" t="s">
        <v>131</v>
      </c>
    </row>
  </sheetData>
  <autoFilter ref="A4:I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42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46"/>
  </cols>
  <sheetData>
    <row r="1" customFormat="false" ht="17.35" hidden="false" customHeight="false" outlineLevel="0" collapsed="false">
      <c r="A1" s="10" t="s">
        <v>52</v>
      </c>
    </row>
    <row r="2" customFormat="false" ht="15" hidden="false" customHeight="false" outlineLevel="0" collapsed="false">
      <c r="A2" s="11" t="s">
        <v>176</v>
      </c>
    </row>
    <row r="4" customFormat="false" ht="27.75" hidden="false" customHeight="true" outlineLevel="0" collapsed="false">
      <c r="A4" s="12" t="s">
        <v>112</v>
      </c>
      <c r="B4" s="12" t="s">
        <v>113</v>
      </c>
      <c r="C4" s="12" t="s">
        <v>114</v>
      </c>
      <c r="D4" s="12" t="s">
        <v>115</v>
      </c>
      <c r="E4" s="12" t="s">
        <v>116</v>
      </c>
      <c r="F4" s="12" t="s">
        <v>117</v>
      </c>
      <c r="G4" s="12" t="s">
        <v>118</v>
      </c>
      <c r="H4" s="12" t="s">
        <v>119</v>
      </c>
      <c r="I4" s="12" t="s">
        <v>120</v>
      </c>
    </row>
    <row r="5" customFormat="false" ht="23.85" hidden="false" customHeight="false" outlineLevel="0" collapsed="false">
      <c r="A5" s="13" t="s">
        <v>54</v>
      </c>
      <c r="B5" s="13" t="s">
        <v>177</v>
      </c>
      <c r="C5" s="14" t="s">
        <v>128</v>
      </c>
      <c r="D5" s="14" t="s">
        <v>168</v>
      </c>
      <c r="E5" s="14" t="s">
        <v>169</v>
      </c>
      <c r="F5" s="14" t="n">
        <v>0</v>
      </c>
      <c r="G5" s="14" t="n">
        <v>8</v>
      </c>
      <c r="H5" s="14" t="s">
        <v>44</v>
      </c>
      <c r="I5" s="14"/>
    </row>
    <row r="6" customFormat="false" ht="46.25" hidden="false" customHeight="false" outlineLevel="0" collapsed="false">
      <c r="A6" s="16" t="s">
        <v>108</v>
      </c>
      <c r="B6" s="16" t="s">
        <v>178</v>
      </c>
      <c r="C6" s="17" t="s">
        <v>128</v>
      </c>
      <c r="D6" s="17" t="s">
        <v>179</v>
      </c>
      <c r="E6" s="17" t="s">
        <v>180</v>
      </c>
      <c r="F6" s="17" t="n">
        <v>0</v>
      </c>
      <c r="G6" s="17" t="n">
        <v>8</v>
      </c>
      <c r="H6" s="17" t="s">
        <v>181</v>
      </c>
      <c r="I6" s="17" t="s">
        <v>182</v>
      </c>
    </row>
  </sheetData>
  <autoFilter ref="A4:I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42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46"/>
  </cols>
  <sheetData>
    <row r="1" customFormat="false" ht="17.35" hidden="false" customHeight="false" outlineLevel="0" collapsed="false">
      <c r="A1" s="10" t="s">
        <v>57</v>
      </c>
    </row>
    <row r="2" customFormat="false" ht="15" hidden="false" customHeight="false" outlineLevel="0" collapsed="false">
      <c r="A2" s="11" t="s">
        <v>183</v>
      </c>
    </row>
    <row r="4" customFormat="false" ht="27.75" hidden="false" customHeight="true" outlineLevel="0" collapsed="false">
      <c r="A4" s="12" t="s">
        <v>112</v>
      </c>
      <c r="B4" s="12" t="s">
        <v>113</v>
      </c>
      <c r="C4" s="12" t="s">
        <v>114</v>
      </c>
      <c r="D4" s="12" t="s">
        <v>115</v>
      </c>
      <c r="E4" s="12" t="s">
        <v>116</v>
      </c>
      <c r="F4" s="12" t="s">
        <v>117</v>
      </c>
      <c r="G4" s="12" t="s">
        <v>118</v>
      </c>
      <c r="H4" s="12" t="s">
        <v>119</v>
      </c>
      <c r="I4" s="12" t="s">
        <v>120</v>
      </c>
    </row>
    <row r="5" customFormat="false" ht="23.85" hidden="false" customHeight="false" outlineLevel="0" collapsed="false">
      <c r="A5" s="16" t="s">
        <v>58</v>
      </c>
      <c r="B5" s="16" t="s">
        <v>184</v>
      </c>
      <c r="C5" s="17" t="s">
        <v>122</v>
      </c>
      <c r="D5" s="17" t="s">
        <v>123</v>
      </c>
      <c r="E5" s="17" t="s">
        <v>124</v>
      </c>
      <c r="F5" s="17" t="n">
        <v>0</v>
      </c>
      <c r="G5" s="17" t="n">
        <v>30000</v>
      </c>
      <c r="H5" s="17" t="s">
        <v>44</v>
      </c>
      <c r="I5" s="17" t="s">
        <v>185</v>
      </c>
    </row>
    <row r="6" customFormat="false" ht="57.45" hidden="false" customHeight="false" outlineLevel="0" collapsed="false">
      <c r="A6" s="16" t="s">
        <v>96</v>
      </c>
      <c r="B6" s="16" t="s">
        <v>186</v>
      </c>
      <c r="C6" s="17" t="s">
        <v>122</v>
      </c>
      <c r="D6" s="17" t="s">
        <v>123</v>
      </c>
      <c r="E6" s="17" t="s">
        <v>124</v>
      </c>
      <c r="F6" s="17" t="n">
        <v>0</v>
      </c>
      <c r="G6" s="17" t="n">
        <v>30000</v>
      </c>
      <c r="H6" s="17" t="s">
        <v>187</v>
      </c>
      <c r="I6" s="17" t="s">
        <v>188</v>
      </c>
    </row>
    <row r="7" customFormat="false" ht="23.85" hidden="false" customHeight="false" outlineLevel="0" collapsed="false">
      <c r="A7" s="13" t="s">
        <v>189</v>
      </c>
      <c r="B7" s="13" t="s">
        <v>190</v>
      </c>
      <c r="C7" s="14" t="s">
        <v>128</v>
      </c>
      <c r="D7" s="14" t="s">
        <v>191</v>
      </c>
      <c r="E7" s="14" t="s">
        <v>192</v>
      </c>
      <c r="F7" s="14" t="n">
        <v>0</v>
      </c>
      <c r="G7" s="14" t="n">
        <v>5</v>
      </c>
      <c r="H7" s="14"/>
      <c r="I7" s="14"/>
    </row>
    <row r="8" customFormat="false" ht="23.85" hidden="false" customHeight="false" outlineLevel="0" collapsed="false">
      <c r="A8" s="16" t="s">
        <v>193</v>
      </c>
      <c r="B8" s="16" t="s">
        <v>194</v>
      </c>
      <c r="C8" s="17" t="s">
        <v>128</v>
      </c>
      <c r="D8" s="17" t="s">
        <v>195</v>
      </c>
      <c r="E8" s="17" t="s">
        <v>196</v>
      </c>
      <c r="F8" s="17" t="n">
        <v>0</v>
      </c>
      <c r="G8" s="17" t="n">
        <v>4</v>
      </c>
      <c r="H8" s="17"/>
      <c r="I8" s="17" t="s">
        <v>197</v>
      </c>
    </row>
    <row r="9" customFormat="false" ht="15" hidden="false" customHeight="false" outlineLevel="0" collapsed="false">
      <c r="A9" s="16" t="s">
        <v>198</v>
      </c>
      <c r="B9" s="16" t="s">
        <v>199</v>
      </c>
      <c r="C9" s="17" t="s">
        <v>128</v>
      </c>
      <c r="D9" s="17" t="s">
        <v>200</v>
      </c>
      <c r="E9" s="17" t="s">
        <v>201</v>
      </c>
      <c r="F9" s="17" t="n">
        <v>0</v>
      </c>
      <c r="G9" s="17" t="n">
        <v>10</v>
      </c>
      <c r="H9" s="17"/>
      <c r="I9" s="17" t="s">
        <v>202</v>
      </c>
    </row>
    <row r="10" customFormat="false" ht="15" hidden="false" customHeight="false" outlineLevel="0" collapsed="false">
      <c r="A10" s="13" t="s">
        <v>203</v>
      </c>
      <c r="B10" s="13" t="s">
        <v>204</v>
      </c>
      <c r="C10" s="14" t="s">
        <v>128</v>
      </c>
      <c r="D10" s="14" t="s">
        <v>205</v>
      </c>
      <c r="E10" s="14" t="s">
        <v>206</v>
      </c>
      <c r="F10" s="14" t="n">
        <v>0</v>
      </c>
      <c r="G10" s="14" t="n">
        <v>8</v>
      </c>
      <c r="H10" s="14"/>
      <c r="I10" s="14"/>
    </row>
    <row r="11" customFormat="false" ht="46.25" hidden="false" customHeight="false" outlineLevel="0" collapsed="false">
      <c r="A11" s="20" t="s">
        <v>207</v>
      </c>
      <c r="B11" s="20" t="s">
        <v>208</v>
      </c>
      <c r="C11" s="21" t="s">
        <v>128</v>
      </c>
      <c r="D11" s="21" t="s">
        <v>209</v>
      </c>
      <c r="E11" s="21" t="s">
        <v>210</v>
      </c>
      <c r="F11" s="21" t="n">
        <v>0</v>
      </c>
      <c r="G11" s="21" t="n">
        <v>8</v>
      </c>
      <c r="H11" s="21"/>
      <c r="I11" s="21" t="s">
        <v>211</v>
      </c>
    </row>
    <row r="12" customFormat="false" ht="23.85" hidden="false" customHeight="false" outlineLevel="0" collapsed="false">
      <c r="A12" s="16" t="s">
        <v>212</v>
      </c>
      <c r="B12" s="16" t="s">
        <v>213</v>
      </c>
      <c r="C12" s="17" t="s">
        <v>214</v>
      </c>
      <c r="D12" s="17" t="s">
        <v>215</v>
      </c>
      <c r="E12" s="17" t="s">
        <v>216</v>
      </c>
      <c r="F12" s="17" t="n">
        <v>0</v>
      </c>
      <c r="G12" s="17" t="n">
        <v>40</v>
      </c>
      <c r="H12" s="17"/>
      <c r="I12" s="17" t="s">
        <v>217</v>
      </c>
    </row>
  </sheetData>
  <autoFilter ref="A4:I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42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46"/>
  </cols>
  <sheetData>
    <row r="1" customFormat="false" ht="17.35" hidden="false" customHeight="false" outlineLevel="0" collapsed="false">
      <c r="A1" s="10" t="s">
        <v>61</v>
      </c>
    </row>
    <row r="2" customFormat="false" ht="15" hidden="false" customHeight="false" outlineLevel="0" collapsed="false">
      <c r="A2" s="11" t="s">
        <v>218</v>
      </c>
    </row>
    <row r="4" customFormat="false" ht="27.75" hidden="false" customHeight="true" outlineLevel="0" collapsed="false">
      <c r="A4" s="12" t="s">
        <v>112</v>
      </c>
      <c r="B4" s="12" t="s">
        <v>113</v>
      </c>
      <c r="C4" s="12" t="s">
        <v>114</v>
      </c>
      <c r="D4" s="12" t="s">
        <v>115</v>
      </c>
      <c r="E4" s="12" t="s">
        <v>116</v>
      </c>
      <c r="F4" s="12" t="s">
        <v>117</v>
      </c>
      <c r="G4" s="12" t="s">
        <v>118</v>
      </c>
      <c r="H4" s="12" t="s">
        <v>119</v>
      </c>
      <c r="I4" s="12" t="s">
        <v>120</v>
      </c>
    </row>
    <row r="5" customFormat="false" ht="23.85" hidden="false" customHeight="false" outlineLevel="0" collapsed="false">
      <c r="A5" s="13" t="s">
        <v>62</v>
      </c>
      <c r="B5" s="13" t="s">
        <v>219</v>
      </c>
      <c r="C5" s="14" t="s">
        <v>128</v>
      </c>
      <c r="D5" s="14" t="s">
        <v>220</v>
      </c>
      <c r="E5" s="14" t="s">
        <v>221</v>
      </c>
      <c r="F5" s="14" t="n">
        <v>0</v>
      </c>
      <c r="G5" s="14" t="n">
        <v>30000</v>
      </c>
      <c r="H5" s="14" t="s">
        <v>44</v>
      </c>
      <c r="I5" s="14"/>
    </row>
    <row r="6" customFormat="false" ht="57.45" hidden="false" customHeight="false" outlineLevel="0" collapsed="false">
      <c r="A6" s="16" t="s">
        <v>103</v>
      </c>
      <c r="B6" s="16" t="s">
        <v>186</v>
      </c>
      <c r="C6" s="17" t="s">
        <v>122</v>
      </c>
      <c r="D6" s="17" t="s">
        <v>123</v>
      </c>
      <c r="E6" s="17" t="s">
        <v>124</v>
      </c>
      <c r="F6" s="17" t="n">
        <v>0</v>
      </c>
      <c r="G6" s="17" t="n">
        <v>30000</v>
      </c>
      <c r="H6" s="17" t="s">
        <v>187</v>
      </c>
      <c r="I6" s="17" t="s">
        <v>222</v>
      </c>
    </row>
    <row r="7" customFormat="false" ht="15" hidden="false" customHeight="false" outlineLevel="0" collapsed="false">
      <c r="A7" s="16" t="s">
        <v>223</v>
      </c>
      <c r="B7" s="16" t="s">
        <v>224</v>
      </c>
      <c r="C7" s="17" t="s">
        <v>225</v>
      </c>
      <c r="D7" s="17" t="s">
        <v>226</v>
      </c>
      <c r="E7" s="17" t="s">
        <v>227</v>
      </c>
      <c r="F7" s="17" t="n">
        <v>0</v>
      </c>
      <c r="G7" s="17" t="n">
        <v>26354</v>
      </c>
      <c r="H7" s="17"/>
      <c r="I7" s="17" t="s">
        <v>228</v>
      </c>
    </row>
    <row r="8" customFormat="false" ht="15" hidden="false" customHeight="false" outlineLevel="0" collapsed="false">
      <c r="A8" s="16" t="s">
        <v>229</v>
      </c>
      <c r="B8" s="16" t="s">
        <v>230</v>
      </c>
      <c r="C8" s="17" t="s">
        <v>225</v>
      </c>
      <c r="D8" s="17" t="s">
        <v>231</v>
      </c>
      <c r="E8" s="17" t="s">
        <v>227</v>
      </c>
      <c r="F8" s="17" t="n">
        <v>0</v>
      </c>
      <c r="G8" s="17" t="n">
        <v>26536</v>
      </c>
      <c r="H8" s="17"/>
      <c r="I8" s="17" t="s">
        <v>232</v>
      </c>
    </row>
    <row r="9" customFormat="false" ht="15" hidden="false" customHeight="false" outlineLevel="0" collapsed="false">
      <c r="A9" s="13" t="s">
        <v>233</v>
      </c>
      <c r="B9" s="13" t="s">
        <v>234</v>
      </c>
      <c r="C9" s="14" t="s">
        <v>128</v>
      </c>
      <c r="D9" s="14" t="s">
        <v>235</v>
      </c>
      <c r="E9" s="14" t="s">
        <v>236</v>
      </c>
      <c r="F9" s="14" t="n">
        <v>0</v>
      </c>
      <c r="G9" s="14" t="n">
        <v>2</v>
      </c>
      <c r="H9" s="14"/>
      <c r="I9" s="14"/>
    </row>
    <row r="10" customFormat="false" ht="15" hidden="false" customHeight="false" outlineLevel="0" collapsed="false">
      <c r="A10" s="16" t="s">
        <v>237</v>
      </c>
      <c r="B10" s="16" t="s">
        <v>238</v>
      </c>
      <c r="C10" s="17" t="s">
        <v>128</v>
      </c>
      <c r="D10" s="17" t="s">
        <v>239</v>
      </c>
      <c r="E10" s="17" t="s">
        <v>240</v>
      </c>
      <c r="F10" s="17" t="n">
        <v>0</v>
      </c>
      <c r="G10" s="17" t="n">
        <v>3</v>
      </c>
      <c r="H10" s="17"/>
      <c r="I10" s="17" t="s">
        <v>241</v>
      </c>
    </row>
    <row r="11" customFormat="false" ht="15" hidden="false" customHeight="false" outlineLevel="0" collapsed="false">
      <c r="A11" s="13" t="s">
        <v>242</v>
      </c>
      <c r="B11" s="13" t="s">
        <v>243</v>
      </c>
      <c r="C11" s="14" t="s">
        <v>128</v>
      </c>
      <c r="D11" s="14" t="s">
        <v>244</v>
      </c>
      <c r="E11" s="14" t="s">
        <v>245</v>
      </c>
      <c r="F11" s="14" t="n">
        <v>0</v>
      </c>
      <c r="G11" s="14" t="n">
        <v>6</v>
      </c>
      <c r="H11" s="14"/>
      <c r="I11" s="14"/>
    </row>
    <row r="12" customFormat="false" ht="15" hidden="false" customHeight="false" outlineLevel="0" collapsed="false">
      <c r="A12" s="16" t="s">
        <v>246</v>
      </c>
      <c r="B12" s="16" t="s">
        <v>247</v>
      </c>
      <c r="C12" s="17" t="s">
        <v>128</v>
      </c>
      <c r="D12" s="17" t="s">
        <v>248</v>
      </c>
      <c r="E12" s="17" t="s">
        <v>249</v>
      </c>
      <c r="F12" s="17" t="n">
        <v>0</v>
      </c>
      <c r="G12" s="17" t="n">
        <v>30000</v>
      </c>
      <c r="H12" s="17"/>
      <c r="I12" s="17" t="s">
        <v>250</v>
      </c>
    </row>
    <row r="13" customFormat="false" ht="15" hidden="false" customHeight="false" outlineLevel="0" collapsed="false">
      <c r="A13" s="13" t="s">
        <v>251</v>
      </c>
      <c r="B13" s="13" t="s">
        <v>252</v>
      </c>
      <c r="C13" s="14" t="s">
        <v>128</v>
      </c>
      <c r="D13" s="14" t="s">
        <v>253</v>
      </c>
      <c r="E13" s="14" t="s">
        <v>254</v>
      </c>
      <c r="F13" s="14" t="n">
        <v>0</v>
      </c>
      <c r="G13" s="14" t="n">
        <v>4</v>
      </c>
      <c r="H13" s="14"/>
      <c r="I13" s="14"/>
    </row>
    <row r="14" customFormat="false" ht="15" hidden="false" customHeight="false" outlineLevel="0" collapsed="false">
      <c r="A14" s="16" t="s">
        <v>255</v>
      </c>
      <c r="B14" s="16" t="s">
        <v>256</v>
      </c>
      <c r="C14" s="17" t="s">
        <v>122</v>
      </c>
      <c r="D14" s="17" t="s">
        <v>257</v>
      </c>
      <c r="E14" s="17" t="s">
        <v>258</v>
      </c>
      <c r="F14" s="17" t="n">
        <v>0</v>
      </c>
      <c r="G14" s="17" t="n">
        <v>31</v>
      </c>
      <c r="H14" s="17"/>
      <c r="I14" s="17" t="s">
        <v>259</v>
      </c>
    </row>
  </sheetData>
  <autoFilter ref="A4:I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42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46"/>
  </cols>
  <sheetData>
    <row r="1" customFormat="false" ht="17.35" hidden="false" customHeight="false" outlineLevel="0" collapsed="false">
      <c r="A1" s="10" t="s">
        <v>65</v>
      </c>
    </row>
    <row r="2" customFormat="false" ht="15" hidden="false" customHeight="false" outlineLevel="0" collapsed="false">
      <c r="A2" s="11" t="s">
        <v>260</v>
      </c>
    </row>
    <row r="4" customFormat="false" ht="27.75" hidden="false" customHeight="true" outlineLevel="0" collapsed="false">
      <c r="A4" s="12" t="s">
        <v>112</v>
      </c>
      <c r="B4" s="12" t="s">
        <v>113</v>
      </c>
      <c r="C4" s="12" t="s">
        <v>114</v>
      </c>
      <c r="D4" s="12" t="s">
        <v>115</v>
      </c>
      <c r="E4" s="12" t="s">
        <v>116</v>
      </c>
      <c r="F4" s="12" t="s">
        <v>117</v>
      </c>
      <c r="G4" s="12" t="s">
        <v>118</v>
      </c>
      <c r="H4" s="12" t="s">
        <v>119</v>
      </c>
      <c r="I4" s="12" t="s">
        <v>120</v>
      </c>
    </row>
    <row r="5" customFormat="false" ht="23.85" hidden="false" customHeight="false" outlineLevel="0" collapsed="false">
      <c r="A5" s="16" t="s">
        <v>66</v>
      </c>
      <c r="B5" s="16" t="s">
        <v>261</v>
      </c>
      <c r="C5" s="17" t="s">
        <v>128</v>
      </c>
      <c r="D5" s="17" t="s">
        <v>262</v>
      </c>
      <c r="E5" s="17" t="s">
        <v>263</v>
      </c>
      <c r="F5" s="17" t="n">
        <v>0</v>
      </c>
      <c r="G5" s="17" t="n">
        <v>30000</v>
      </c>
      <c r="H5" s="17" t="s">
        <v>44</v>
      </c>
      <c r="I5" s="17" t="s">
        <v>264</v>
      </c>
    </row>
    <row r="6" customFormat="false" ht="35.05" hidden="false" customHeight="false" outlineLevel="0" collapsed="false">
      <c r="A6" s="20" t="s">
        <v>265</v>
      </c>
      <c r="B6" s="20" t="s">
        <v>266</v>
      </c>
      <c r="C6" s="21" t="s">
        <v>122</v>
      </c>
      <c r="D6" s="21" t="s">
        <v>267</v>
      </c>
      <c r="E6" s="21" t="s">
        <v>268</v>
      </c>
      <c r="F6" s="21" t="n">
        <v>0</v>
      </c>
      <c r="G6" s="21" t="n">
        <v>11378</v>
      </c>
      <c r="H6" s="21"/>
      <c r="I6" s="21" t="s">
        <v>269</v>
      </c>
    </row>
    <row r="7" customFormat="false" ht="15" hidden="false" customHeight="false" outlineLevel="0" collapsed="false">
      <c r="A7" s="16" t="s">
        <v>270</v>
      </c>
      <c r="B7" s="16" t="s">
        <v>271</v>
      </c>
      <c r="C7" s="17" t="s">
        <v>128</v>
      </c>
      <c r="D7" s="17" t="s">
        <v>272</v>
      </c>
      <c r="E7" s="17" t="s">
        <v>273</v>
      </c>
      <c r="F7" s="17" t="n">
        <v>0</v>
      </c>
      <c r="G7" s="17" t="n">
        <v>30000</v>
      </c>
      <c r="H7" s="17"/>
      <c r="I7" s="17" t="s">
        <v>250</v>
      </c>
    </row>
    <row r="8" customFormat="false" ht="23.85" hidden="false" customHeight="false" outlineLevel="0" collapsed="false">
      <c r="A8" s="20" t="s">
        <v>274</v>
      </c>
      <c r="B8" s="20" t="s">
        <v>275</v>
      </c>
      <c r="C8" s="21" t="s">
        <v>122</v>
      </c>
      <c r="D8" s="21" t="s">
        <v>276</v>
      </c>
      <c r="E8" s="21" t="s">
        <v>277</v>
      </c>
      <c r="F8" s="21" t="n">
        <v>0</v>
      </c>
      <c r="G8" s="21" t="n">
        <v>30000</v>
      </c>
      <c r="H8" s="21"/>
      <c r="I8" s="21" t="s">
        <v>278</v>
      </c>
    </row>
    <row r="9" customFormat="false" ht="57.45" hidden="false" customHeight="false" outlineLevel="0" collapsed="false">
      <c r="A9" s="16" t="s">
        <v>101</v>
      </c>
      <c r="B9" s="16" t="s">
        <v>186</v>
      </c>
      <c r="C9" s="17" t="s">
        <v>122</v>
      </c>
      <c r="D9" s="17" t="s">
        <v>123</v>
      </c>
      <c r="E9" s="17" t="s">
        <v>124</v>
      </c>
      <c r="F9" s="17" t="n">
        <v>0</v>
      </c>
      <c r="G9" s="17" t="n">
        <v>30000</v>
      </c>
      <c r="H9" s="17" t="s">
        <v>187</v>
      </c>
      <c r="I9" s="17" t="s">
        <v>279</v>
      </c>
    </row>
    <row r="10" customFormat="false" ht="23.85" hidden="false" customHeight="false" outlineLevel="0" collapsed="false">
      <c r="A10" s="16" t="s">
        <v>280</v>
      </c>
      <c r="B10" s="16" t="s">
        <v>281</v>
      </c>
      <c r="C10" s="17" t="s">
        <v>122</v>
      </c>
      <c r="D10" s="17" t="s">
        <v>282</v>
      </c>
      <c r="E10" s="17" t="s">
        <v>283</v>
      </c>
      <c r="F10" s="17" t="n">
        <v>0</v>
      </c>
      <c r="G10" s="17" t="n">
        <v>2701</v>
      </c>
      <c r="H10" s="17"/>
      <c r="I10" s="17" t="s">
        <v>284</v>
      </c>
    </row>
    <row r="11" customFormat="false" ht="15" hidden="false" customHeight="false" outlineLevel="0" collapsed="false">
      <c r="A11" s="13" t="s">
        <v>285</v>
      </c>
      <c r="B11" s="13" t="s">
        <v>286</v>
      </c>
      <c r="C11" s="14" t="s">
        <v>128</v>
      </c>
      <c r="D11" s="14" t="s">
        <v>287</v>
      </c>
      <c r="E11" s="14" t="s">
        <v>288</v>
      </c>
      <c r="F11" s="14" t="n">
        <v>0</v>
      </c>
      <c r="G11" s="14" t="n">
        <v>10</v>
      </c>
      <c r="H11" s="14"/>
      <c r="I11" s="14"/>
    </row>
  </sheetData>
  <autoFilter ref="A4:I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42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46"/>
  </cols>
  <sheetData>
    <row r="1" customFormat="false" ht="17.35" hidden="false" customHeight="false" outlineLevel="0" collapsed="false">
      <c r="A1" s="10" t="s">
        <v>69</v>
      </c>
    </row>
    <row r="2" customFormat="false" ht="15" hidden="false" customHeight="false" outlineLevel="0" collapsed="false">
      <c r="A2" s="11" t="s">
        <v>289</v>
      </c>
    </row>
    <row r="4" customFormat="false" ht="27.75" hidden="false" customHeight="true" outlineLevel="0" collapsed="false">
      <c r="A4" s="12" t="s">
        <v>112</v>
      </c>
      <c r="B4" s="12" t="s">
        <v>113</v>
      </c>
      <c r="C4" s="12" t="s">
        <v>114</v>
      </c>
      <c r="D4" s="12" t="s">
        <v>115</v>
      </c>
      <c r="E4" s="12" t="s">
        <v>116</v>
      </c>
      <c r="F4" s="12" t="s">
        <v>117</v>
      </c>
      <c r="G4" s="12" t="s">
        <v>118</v>
      </c>
      <c r="H4" s="12" t="s">
        <v>119</v>
      </c>
      <c r="I4" s="12" t="s">
        <v>120</v>
      </c>
    </row>
    <row r="5" customFormat="false" ht="57.45" hidden="false" customHeight="false" outlineLevel="0" collapsed="false">
      <c r="A5" s="16" t="s">
        <v>49</v>
      </c>
      <c r="B5" s="16" t="s">
        <v>186</v>
      </c>
      <c r="C5" s="17" t="s">
        <v>122</v>
      </c>
      <c r="D5" s="17" t="s">
        <v>123</v>
      </c>
      <c r="E5" s="17" t="s">
        <v>124</v>
      </c>
      <c r="F5" s="17" t="n">
        <v>0</v>
      </c>
      <c r="G5" s="17" t="n">
        <v>30000</v>
      </c>
      <c r="H5" s="17" t="s">
        <v>187</v>
      </c>
      <c r="I5" s="17" t="s">
        <v>290</v>
      </c>
    </row>
    <row r="6" customFormat="false" ht="35.05" hidden="false" customHeight="false" outlineLevel="0" collapsed="false">
      <c r="A6" s="16" t="s">
        <v>291</v>
      </c>
      <c r="B6" s="16" t="s">
        <v>292</v>
      </c>
      <c r="C6" s="17" t="s">
        <v>122</v>
      </c>
      <c r="D6" s="17" t="s">
        <v>293</v>
      </c>
      <c r="E6" s="17" t="s">
        <v>294</v>
      </c>
      <c r="F6" s="17" t="n">
        <v>0</v>
      </c>
      <c r="G6" s="17" t="n">
        <v>5</v>
      </c>
      <c r="H6" s="17" t="s">
        <v>295</v>
      </c>
      <c r="I6" s="17" t="s">
        <v>296</v>
      </c>
    </row>
    <row r="7" customFormat="false" ht="15" hidden="false" customHeight="false" outlineLevel="0" collapsed="false">
      <c r="A7" s="16" t="s">
        <v>297</v>
      </c>
      <c r="B7" s="16" t="s">
        <v>298</v>
      </c>
      <c r="C7" s="17" t="s">
        <v>153</v>
      </c>
      <c r="D7" s="17" t="s">
        <v>299</v>
      </c>
      <c r="E7" s="17" t="s">
        <v>300</v>
      </c>
      <c r="F7" s="17" t="n">
        <v>0</v>
      </c>
      <c r="G7" s="17" t="n">
        <v>281</v>
      </c>
      <c r="H7" s="17"/>
      <c r="I7" s="17" t="s">
        <v>301</v>
      </c>
    </row>
    <row r="8" customFormat="false" ht="15" hidden="false" customHeight="false" outlineLevel="0" collapsed="false">
      <c r="A8" s="13" t="s">
        <v>302</v>
      </c>
      <c r="B8" s="13" t="s">
        <v>303</v>
      </c>
      <c r="C8" s="14" t="s">
        <v>122</v>
      </c>
      <c r="D8" s="14" t="s">
        <v>123</v>
      </c>
      <c r="E8" s="14" t="s">
        <v>304</v>
      </c>
      <c r="F8" s="14" t="n">
        <v>0</v>
      </c>
      <c r="G8" s="14" t="n">
        <v>10</v>
      </c>
      <c r="H8" s="14"/>
      <c r="I8" s="14"/>
    </row>
    <row r="9" customFormat="false" ht="23.85" hidden="false" customHeight="false" outlineLevel="0" collapsed="false">
      <c r="A9" s="16" t="s">
        <v>305</v>
      </c>
      <c r="B9" s="16" t="s">
        <v>306</v>
      </c>
      <c r="C9" s="17" t="s">
        <v>122</v>
      </c>
      <c r="D9" s="17" t="s">
        <v>307</v>
      </c>
      <c r="E9" s="17" t="s">
        <v>308</v>
      </c>
      <c r="F9" s="17" t="n">
        <v>0</v>
      </c>
      <c r="G9" s="17" t="n">
        <v>91</v>
      </c>
      <c r="H9" s="17"/>
      <c r="I9" s="17" t="s">
        <v>309</v>
      </c>
    </row>
    <row r="10" customFormat="false" ht="23.85" hidden="false" customHeight="false" outlineLevel="0" collapsed="false">
      <c r="A10" s="16" t="s">
        <v>310</v>
      </c>
      <c r="B10" s="16" t="s">
        <v>311</v>
      </c>
      <c r="C10" s="17" t="s">
        <v>153</v>
      </c>
      <c r="D10" s="17" t="s">
        <v>312</v>
      </c>
      <c r="E10" s="17" t="s">
        <v>313</v>
      </c>
      <c r="F10" s="17" t="n">
        <v>0</v>
      </c>
      <c r="G10" s="17" t="n">
        <v>1501</v>
      </c>
      <c r="H10" s="17"/>
      <c r="I10" s="17" t="s">
        <v>314</v>
      </c>
    </row>
    <row r="11" customFormat="false" ht="15" hidden="false" customHeight="false" outlineLevel="0" collapsed="false">
      <c r="A11" s="13" t="s">
        <v>315</v>
      </c>
      <c r="B11" s="13" t="s">
        <v>316</v>
      </c>
      <c r="C11" s="14" t="s">
        <v>128</v>
      </c>
      <c r="D11" s="14" t="s">
        <v>235</v>
      </c>
      <c r="E11" s="14" t="s">
        <v>236</v>
      </c>
      <c r="F11" s="14" t="n">
        <v>0</v>
      </c>
      <c r="G11" s="14" t="n">
        <v>2</v>
      </c>
      <c r="H11" s="14"/>
      <c r="I11" s="14"/>
    </row>
  </sheetData>
  <autoFilter ref="A4:I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42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46"/>
  </cols>
  <sheetData>
    <row r="1" customFormat="false" ht="17.35" hidden="false" customHeight="false" outlineLevel="0" collapsed="false">
      <c r="A1" s="10" t="s">
        <v>74</v>
      </c>
    </row>
    <row r="2" customFormat="false" ht="15" hidden="false" customHeight="false" outlineLevel="0" collapsed="false">
      <c r="A2" s="11" t="s">
        <v>317</v>
      </c>
    </row>
    <row r="4" customFormat="false" ht="27.75" hidden="false" customHeight="true" outlineLevel="0" collapsed="false">
      <c r="A4" s="12" t="s">
        <v>112</v>
      </c>
      <c r="B4" s="12" t="s">
        <v>113</v>
      </c>
      <c r="C4" s="12" t="s">
        <v>114</v>
      </c>
      <c r="D4" s="12" t="s">
        <v>115</v>
      </c>
      <c r="E4" s="12" t="s">
        <v>116</v>
      </c>
      <c r="F4" s="12" t="s">
        <v>117</v>
      </c>
      <c r="G4" s="12" t="s">
        <v>118</v>
      </c>
      <c r="H4" s="12" t="s">
        <v>119</v>
      </c>
      <c r="I4" s="12" t="s">
        <v>120</v>
      </c>
    </row>
    <row r="5" customFormat="false" ht="35.05" hidden="false" customHeight="false" outlineLevel="0" collapsed="false">
      <c r="A5" s="20" t="s">
        <v>318</v>
      </c>
      <c r="B5" s="20" t="s">
        <v>319</v>
      </c>
      <c r="C5" s="21" t="s">
        <v>122</v>
      </c>
      <c r="D5" s="21" t="s">
        <v>123</v>
      </c>
      <c r="E5" s="21" t="s">
        <v>320</v>
      </c>
      <c r="F5" s="21" t="n">
        <v>0</v>
      </c>
      <c r="G5" s="21" t="n">
        <v>40</v>
      </c>
      <c r="H5" s="21" t="s">
        <v>321</v>
      </c>
      <c r="I5" s="21" t="s">
        <v>322</v>
      </c>
    </row>
    <row r="6" customFormat="false" ht="57.45" hidden="false" customHeight="false" outlineLevel="0" collapsed="false">
      <c r="A6" s="16" t="s">
        <v>91</v>
      </c>
      <c r="B6" s="16" t="s">
        <v>323</v>
      </c>
      <c r="C6" s="17" t="s">
        <v>128</v>
      </c>
      <c r="D6" s="17" t="s">
        <v>179</v>
      </c>
      <c r="E6" s="17" t="s">
        <v>324</v>
      </c>
      <c r="F6" s="17" t="n">
        <v>0</v>
      </c>
      <c r="G6" s="17" t="n">
        <v>8</v>
      </c>
      <c r="H6" s="17" t="s">
        <v>325</v>
      </c>
      <c r="I6" s="17" t="s">
        <v>326</v>
      </c>
    </row>
    <row r="7" customFormat="false" ht="35.05" hidden="false" customHeight="false" outlineLevel="0" collapsed="false">
      <c r="A7" s="13" t="s">
        <v>291</v>
      </c>
      <c r="B7" s="13" t="s">
        <v>327</v>
      </c>
      <c r="C7" s="14" t="s">
        <v>122</v>
      </c>
      <c r="D7" s="14" t="s">
        <v>293</v>
      </c>
      <c r="E7" s="14" t="s">
        <v>294</v>
      </c>
      <c r="F7" s="14" t="n">
        <v>0</v>
      </c>
      <c r="G7" s="14" t="n">
        <v>5</v>
      </c>
      <c r="H7" s="14" t="s">
        <v>295</v>
      </c>
      <c r="I7" s="14"/>
    </row>
    <row r="8" customFormat="false" ht="23.85" hidden="false" customHeight="false" outlineLevel="0" collapsed="false">
      <c r="A8" s="16" t="s">
        <v>328</v>
      </c>
      <c r="B8" s="16" t="s">
        <v>329</v>
      </c>
      <c r="C8" s="17" t="s">
        <v>153</v>
      </c>
      <c r="D8" s="17" t="s">
        <v>330</v>
      </c>
      <c r="E8" s="17" t="s">
        <v>331</v>
      </c>
      <c r="F8" s="17" t="n">
        <v>0</v>
      </c>
      <c r="G8" s="17" t="n">
        <v>34</v>
      </c>
      <c r="H8" s="17"/>
      <c r="I8" s="17" t="s">
        <v>332</v>
      </c>
    </row>
    <row r="9" customFormat="false" ht="15" hidden="false" customHeight="false" outlineLevel="0" collapsed="false">
      <c r="A9" s="16" t="s">
        <v>333</v>
      </c>
      <c r="B9" s="16" t="s">
        <v>334</v>
      </c>
      <c r="C9" s="17" t="s">
        <v>122</v>
      </c>
      <c r="D9" s="17" t="s">
        <v>335</v>
      </c>
      <c r="E9" s="17" t="s">
        <v>336</v>
      </c>
      <c r="F9" s="17" t="n">
        <v>0</v>
      </c>
      <c r="G9" s="17" t="n">
        <v>40</v>
      </c>
      <c r="H9" s="17"/>
      <c r="I9" s="17" t="s">
        <v>337</v>
      </c>
    </row>
    <row r="10" customFormat="false" ht="46.25" hidden="false" customHeight="false" outlineLevel="0" collapsed="false">
      <c r="A10" s="20" t="s">
        <v>338</v>
      </c>
      <c r="B10" s="20" t="s">
        <v>339</v>
      </c>
      <c r="C10" s="21" t="s">
        <v>122</v>
      </c>
      <c r="D10" s="21" t="s">
        <v>340</v>
      </c>
      <c r="E10" s="21" t="s">
        <v>341</v>
      </c>
      <c r="F10" s="21" t="n">
        <v>0</v>
      </c>
      <c r="G10" s="21" t="n">
        <v>40</v>
      </c>
      <c r="H10" s="21"/>
      <c r="I10" s="21" t="s">
        <v>342</v>
      </c>
    </row>
    <row r="11" customFormat="false" ht="23.85" hidden="false" customHeight="false" outlineLevel="0" collapsed="false">
      <c r="A11" s="16" t="s">
        <v>343</v>
      </c>
      <c r="B11" s="16" t="s">
        <v>344</v>
      </c>
      <c r="C11" s="17" t="s">
        <v>122</v>
      </c>
      <c r="D11" s="17" t="s">
        <v>345</v>
      </c>
      <c r="E11" s="17" t="s">
        <v>346</v>
      </c>
      <c r="F11" s="17" t="n">
        <v>0</v>
      </c>
      <c r="G11" s="17" t="n">
        <v>40</v>
      </c>
      <c r="H11" s="17"/>
      <c r="I11" s="17" t="s">
        <v>347</v>
      </c>
    </row>
  </sheetData>
  <autoFilter ref="A4:I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2026-07-31T08:34:33Z</dcterms:created>
  <dc:creator>openpyxl</dc:creator>
  <dc:description/>
  <dc:language>en-US</dc:language>
  <cp:lastModifiedBy/>
  <dcterms:modified xsi:type="dcterms:W3CDTF">2026-07-31T08:34:33Z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